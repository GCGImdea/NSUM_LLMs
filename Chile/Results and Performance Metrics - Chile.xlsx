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cia Soria González\Desktop\excel metricas\"/>
    </mc:Choice>
  </mc:AlternateContent>
  <xr:revisionPtr revIDLastSave="0" documentId="13_ncr:1_{5CFF841A-5DAA-468D-A4F0-8F45506AE04B}" xr6:coauthVersionLast="47" xr6:coauthVersionMax="47" xr10:uidLastSave="{00000000-0000-0000-0000-000000000000}"/>
  <bookViews>
    <workbookView xWindow="-120" yWindow="-120" windowWidth="38640" windowHeight="21120" tabRatio="639" xr2:uid="{00000000-000D-0000-FFFF-FFFF00000000}"/>
  </bookViews>
  <sheets>
    <sheet name="Summary" sheetId="12" r:id="rId1"/>
    <sheet name="NSUM Estimators Evaluation" sheetId="6" r:id="rId2"/>
    <sheet name="Round 2 - PIMLE" sheetId="10" r:id="rId3"/>
    <sheet name="Round 1" sheetId="1" r:id="rId4"/>
    <sheet name="Round 2 - 24nov" sheetId="2" r:id="rId5"/>
    <sheet name="Round 2 - 4dec &amp; 12dec" sheetId="9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9" l="1"/>
  <c r="H58" i="9" s="1"/>
  <c r="E58" i="9"/>
  <c r="F58" i="9" s="1"/>
  <c r="G57" i="9"/>
  <c r="H57" i="9" s="1"/>
  <c r="E57" i="9"/>
  <c r="F57" i="9" s="1"/>
  <c r="G56" i="9"/>
  <c r="H56" i="9" s="1"/>
  <c r="E56" i="9"/>
  <c r="F56" i="9" s="1"/>
  <c r="G55" i="9"/>
  <c r="H55" i="9" s="1"/>
  <c r="E55" i="9"/>
  <c r="F55" i="9" s="1"/>
  <c r="G54" i="9"/>
  <c r="H54" i="9" s="1"/>
  <c r="E54" i="9"/>
  <c r="F54" i="9" s="1"/>
  <c r="G53" i="9"/>
  <c r="H53" i="9" s="1"/>
  <c r="E53" i="9"/>
  <c r="F53" i="9" s="1"/>
  <c r="G52" i="9"/>
  <c r="H52" i="9" s="1"/>
  <c r="E52" i="9"/>
  <c r="F52" i="9" s="1"/>
  <c r="G51" i="9"/>
  <c r="H51" i="9" s="1"/>
  <c r="E51" i="9"/>
  <c r="F51" i="9" s="1"/>
  <c r="G50" i="9"/>
  <c r="H50" i="9" s="1"/>
  <c r="E50" i="9"/>
  <c r="F50" i="9" s="1"/>
  <c r="G49" i="9"/>
  <c r="H49" i="9" s="1"/>
  <c r="E49" i="9"/>
  <c r="F49" i="9" s="1"/>
  <c r="G48" i="9"/>
  <c r="H48" i="9" s="1"/>
  <c r="E48" i="9"/>
  <c r="F48" i="9" s="1"/>
  <c r="G47" i="9"/>
  <c r="H47" i="9" s="1"/>
  <c r="E47" i="9"/>
  <c r="F47" i="9" s="1"/>
  <c r="G43" i="9"/>
  <c r="H43" i="9" s="1"/>
  <c r="E43" i="9"/>
  <c r="F43" i="9" s="1"/>
  <c r="G42" i="9"/>
  <c r="H42" i="9" s="1"/>
  <c r="E42" i="9"/>
  <c r="F42" i="9" s="1"/>
  <c r="G41" i="9"/>
  <c r="H41" i="9" s="1"/>
  <c r="E41" i="9"/>
  <c r="F41" i="9" s="1"/>
  <c r="G40" i="9"/>
  <c r="H40" i="9" s="1"/>
  <c r="E40" i="9"/>
  <c r="F40" i="9" s="1"/>
  <c r="G39" i="9"/>
  <c r="H39" i="9" s="1"/>
  <c r="E39" i="9"/>
  <c r="F39" i="9" s="1"/>
  <c r="G38" i="9"/>
  <c r="H38" i="9" s="1"/>
  <c r="E38" i="9"/>
  <c r="F38" i="9" s="1"/>
  <c r="G37" i="9"/>
  <c r="H37" i="9" s="1"/>
  <c r="E37" i="9"/>
  <c r="F37" i="9" s="1"/>
  <c r="G36" i="9"/>
  <c r="H36" i="9" s="1"/>
  <c r="E36" i="9"/>
  <c r="F36" i="9" s="1"/>
  <c r="G35" i="9"/>
  <c r="H35" i="9" s="1"/>
  <c r="E35" i="9"/>
  <c r="F35" i="9" s="1"/>
  <c r="G34" i="9"/>
  <c r="H34" i="9" s="1"/>
  <c r="E34" i="9"/>
  <c r="F34" i="9" s="1"/>
  <c r="G33" i="9"/>
  <c r="H33" i="9" s="1"/>
  <c r="E33" i="9"/>
  <c r="F33" i="9" s="1"/>
  <c r="G32" i="9"/>
  <c r="H32" i="9" s="1"/>
  <c r="E32" i="9"/>
  <c r="F32" i="9" s="1"/>
  <c r="G28" i="9"/>
  <c r="H28" i="9" s="1"/>
  <c r="F28" i="9"/>
  <c r="E28" i="9"/>
  <c r="G27" i="9"/>
  <c r="H27" i="9" s="1"/>
  <c r="E27" i="9"/>
  <c r="F27" i="9" s="1"/>
  <c r="G26" i="9"/>
  <c r="H26" i="9" s="1"/>
  <c r="F26" i="9"/>
  <c r="E26" i="9"/>
  <c r="G25" i="9"/>
  <c r="H25" i="9" s="1"/>
  <c r="E25" i="9"/>
  <c r="F25" i="9" s="1"/>
  <c r="G24" i="9"/>
  <c r="H24" i="9" s="1"/>
  <c r="F24" i="9"/>
  <c r="E24" i="9"/>
  <c r="G23" i="9"/>
  <c r="H23" i="9" s="1"/>
  <c r="E23" i="9"/>
  <c r="F23" i="9" s="1"/>
  <c r="G22" i="9"/>
  <c r="H22" i="9" s="1"/>
  <c r="F22" i="9"/>
  <c r="E22" i="9"/>
  <c r="G21" i="9"/>
  <c r="H21" i="9" s="1"/>
  <c r="E21" i="9"/>
  <c r="F21" i="9" s="1"/>
  <c r="G20" i="9"/>
  <c r="H20" i="9" s="1"/>
  <c r="F20" i="9"/>
  <c r="E20" i="9"/>
  <c r="G19" i="9"/>
  <c r="H19" i="9" s="1"/>
  <c r="E19" i="9"/>
  <c r="F19" i="9" s="1"/>
  <c r="G18" i="9"/>
  <c r="H18" i="9" s="1"/>
  <c r="F18" i="9"/>
  <c r="E18" i="9"/>
  <c r="G17" i="9"/>
  <c r="H17" i="9" s="1"/>
  <c r="E17" i="9"/>
  <c r="F17" i="9" s="1"/>
  <c r="L60" i="9"/>
  <c r="M60" i="9" s="1"/>
  <c r="K60" i="9"/>
  <c r="J60" i="9"/>
  <c r="L59" i="9"/>
  <c r="M59" i="9" s="1"/>
  <c r="J59" i="9"/>
  <c r="K59" i="9" s="1"/>
  <c r="L58" i="9"/>
  <c r="M58" i="9" s="1"/>
  <c r="K58" i="9"/>
  <c r="J58" i="9"/>
  <c r="L57" i="9"/>
  <c r="M57" i="9" s="1"/>
  <c r="J57" i="9"/>
  <c r="K57" i="9" s="1"/>
  <c r="L55" i="9"/>
  <c r="M55" i="9" s="1"/>
  <c r="K55" i="9"/>
  <c r="J55" i="9"/>
  <c r="L54" i="9"/>
  <c r="M54" i="9" s="1"/>
  <c r="J54" i="9"/>
  <c r="K54" i="9" s="1"/>
  <c r="L53" i="9"/>
  <c r="M53" i="9" s="1"/>
  <c r="K53" i="9"/>
  <c r="J53" i="9"/>
  <c r="L52" i="9"/>
  <c r="M52" i="9" s="1"/>
  <c r="J52" i="9"/>
  <c r="K52" i="9" s="1"/>
  <c r="L51" i="9"/>
  <c r="M51" i="9" s="1"/>
  <c r="K51" i="9"/>
  <c r="J51" i="9"/>
  <c r="L50" i="9"/>
  <c r="M50" i="9" s="1"/>
  <c r="J50" i="9"/>
  <c r="K50" i="9" s="1"/>
  <c r="L49" i="9"/>
  <c r="M49" i="9" s="1"/>
  <c r="K49" i="9"/>
  <c r="J49" i="9"/>
  <c r="L48" i="9"/>
  <c r="M48" i="9" s="1"/>
  <c r="J48" i="9"/>
  <c r="K48" i="9" s="1"/>
  <c r="L45" i="9"/>
  <c r="M45" i="9" s="1"/>
  <c r="K45" i="9"/>
  <c r="J45" i="9"/>
  <c r="L44" i="9"/>
  <c r="M44" i="9" s="1"/>
  <c r="J44" i="9"/>
  <c r="K44" i="9" s="1"/>
  <c r="L43" i="9"/>
  <c r="M43" i="9" s="1"/>
  <c r="K43" i="9"/>
  <c r="J43" i="9"/>
  <c r="L42" i="9"/>
  <c r="M42" i="9" s="1"/>
  <c r="J42" i="9"/>
  <c r="K42" i="9" s="1"/>
  <c r="L40" i="9"/>
  <c r="M40" i="9" s="1"/>
  <c r="K40" i="9"/>
  <c r="J40" i="9"/>
  <c r="L39" i="9"/>
  <c r="M39" i="9" s="1"/>
  <c r="J39" i="9"/>
  <c r="K39" i="9" s="1"/>
  <c r="L38" i="9"/>
  <c r="M38" i="9" s="1"/>
  <c r="K38" i="9"/>
  <c r="J38" i="9"/>
  <c r="L37" i="9"/>
  <c r="M37" i="9" s="1"/>
  <c r="J37" i="9"/>
  <c r="K37" i="9" s="1"/>
  <c r="L36" i="9"/>
  <c r="M36" i="9" s="1"/>
  <c r="K36" i="9"/>
  <c r="J36" i="9"/>
  <c r="L35" i="9"/>
  <c r="M35" i="9" s="1"/>
  <c r="J35" i="9"/>
  <c r="K35" i="9" s="1"/>
  <c r="L34" i="9"/>
  <c r="M34" i="9" s="1"/>
  <c r="K34" i="9"/>
  <c r="J34" i="9"/>
  <c r="L33" i="9"/>
  <c r="M33" i="9" s="1"/>
  <c r="J33" i="9"/>
  <c r="K33" i="9" s="1"/>
  <c r="M30" i="9"/>
  <c r="L30" i="9"/>
  <c r="J30" i="9"/>
  <c r="K30" i="9" s="1"/>
  <c r="L29" i="9"/>
  <c r="M29" i="9" s="1"/>
  <c r="J29" i="9"/>
  <c r="K29" i="9" s="1"/>
  <c r="M28" i="9"/>
  <c r="L28" i="9"/>
  <c r="J28" i="9"/>
  <c r="K28" i="9" s="1"/>
  <c r="L27" i="9"/>
  <c r="M27" i="9" s="1"/>
  <c r="J27" i="9"/>
  <c r="K27" i="9" s="1"/>
  <c r="M25" i="9"/>
  <c r="L25" i="9"/>
  <c r="J25" i="9"/>
  <c r="K25" i="9" s="1"/>
  <c r="L24" i="9"/>
  <c r="M24" i="9" s="1"/>
  <c r="J24" i="9"/>
  <c r="K24" i="9" s="1"/>
  <c r="M23" i="9"/>
  <c r="L23" i="9"/>
  <c r="J23" i="9"/>
  <c r="K23" i="9" s="1"/>
  <c r="L22" i="9"/>
  <c r="M22" i="9" s="1"/>
  <c r="J22" i="9"/>
  <c r="K22" i="9" s="1"/>
  <c r="M21" i="9"/>
  <c r="L21" i="9"/>
  <c r="J21" i="9"/>
  <c r="K21" i="9" s="1"/>
  <c r="L20" i="9"/>
  <c r="M20" i="9" s="1"/>
  <c r="J20" i="9"/>
  <c r="K20" i="9" s="1"/>
  <c r="M19" i="9"/>
  <c r="L19" i="9"/>
  <c r="J19" i="9"/>
  <c r="K19" i="9" s="1"/>
  <c r="L18" i="9"/>
  <c r="M18" i="9" s="1"/>
  <c r="J18" i="9"/>
  <c r="K18" i="9" s="1"/>
  <c r="L15" i="9"/>
  <c r="M15" i="9" s="1"/>
  <c r="K15" i="9"/>
  <c r="J15" i="9"/>
  <c r="L14" i="9"/>
  <c r="M14" i="9" s="1"/>
  <c r="J14" i="9"/>
  <c r="K14" i="9" s="1"/>
  <c r="L13" i="9"/>
  <c r="M13" i="9" s="1"/>
  <c r="K13" i="9"/>
  <c r="J13" i="9"/>
  <c r="L12" i="9"/>
  <c r="M12" i="9" s="1"/>
  <c r="J12" i="9"/>
  <c r="K12" i="9" s="1"/>
  <c r="L10" i="9"/>
  <c r="M10" i="9" s="1"/>
  <c r="K10" i="9"/>
  <c r="J10" i="9"/>
  <c r="L9" i="9"/>
  <c r="M9" i="9" s="1"/>
  <c r="J9" i="9"/>
  <c r="K9" i="9" s="1"/>
  <c r="L8" i="9"/>
  <c r="M8" i="9" s="1"/>
  <c r="K8" i="9"/>
  <c r="J8" i="9"/>
  <c r="L7" i="9"/>
  <c r="M7" i="9" s="1"/>
  <c r="J7" i="9"/>
  <c r="K7" i="9" s="1"/>
  <c r="L6" i="9"/>
  <c r="M6" i="9" s="1"/>
  <c r="K6" i="9"/>
  <c r="J6" i="9"/>
  <c r="L5" i="9"/>
  <c r="M5" i="9" s="1"/>
  <c r="J5" i="9"/>
  <c r="K5" i="9" s="1"/>
  <c r="L4" i="9"/>
  <c r="M4" i="9" s="1"/>
  <c r="K4" i="9"/>
  <c r="J4" i="9"/>
  <c r="L3" i="9"/>
  <c r="M3" i="9" s="1"/>
  <c r="J3" i="9"/>
  <c r="K3" i="9" s="1"/>
  <c r="E3" i="9"/>
  <c r="F3" i="9"/>
  <c r="G3" i="9"/>
  <c r="H3" i="9" s="1"/>
  <c r="E4" i="9"/>
  <c r="F4" i="9" s="1"/>
  <c r="G4" i="9"/>
  <c r="H4" i="9"/>
  <c r="E5" i="9"/>
  <c r="F5" i="9"/>
  <c r="G5" i="9"/>
  <c r="H5" i="9" s="1"/>
  <c r="E6" i="9"/>
  <c r="F6" i="9" s="1"/>
  <c r="G6" i="9"/>
  <c r="H6" i="9"/>
  <c r="E7" i="9"/>
  <c r="F7" i="9"/>
  <c r="G7" i="9"/>
  <c r="H7" i="9" s="1"/>
  <c r="E8" i="9"/>
  <c r="F8" i="9" s="1"/>
  <c r="G8" i="9"/>
  <c r="H8" i="9"/>
  <c r="E9" i="9"/>
  <c r="F9" i="9"/>
  <c r="G9" i="9"/>
  <c r="H9" i="9" s="1"/>
  <c r="E10" i="9"/>
  <c r="F10" i="9" s="1"/>
  <c r="G10" i="9"/>
  <c r="H10" i="9"/>
  <c r="E11" i="9"/>
  <c r="F11" i="9"/>
  <c r="G11" i="9"/>
  <c r="H11" i="9" s="1"/>
  <c r="E12" i="9"/>
  <c r="F12" i="9" s="1"/>
  <c r="G12" i="9"/>
  <c r="H12" i="9"/>
  <c r="E13" i="9"/>
  <c r="F13" i="9"/>
  <c r="G13" i="9"/>
  <c r="H13" i="9" s="1"/>
  <c r="G2" i="9"/>
  <c r="H2" i="9" s="1"/>
  <c r="F2" i="9"/>
  <c r="E2" i="9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D26" i="2" s="1"/>
  <c r="C2" i="2"/>
  <c r="C14" i="2" s="1"/>
  <c r="B2" i="2"/>
  <c r="B14" i="2" s="1"/>
  <c r="D14" i="2" l="1"/>
  <c r="B38" i="2"/>
  <c r="C38" i="2"/>
  <c r="B26" i="2"/>
  <c r="D38" i="2"/>
  <c r="C26" i="2"/>
  <c r="I16" i="10" l="1"/>
  <c r="M44" i="1"/>
  <c r="N44" i="1" s="1"/>
  <c r="AB4" i="12"/>
  <c r="AB3" i="12"/>
  <c r="M45" i="1"/>
  <c r="N45" i="1" s="1"/>
  <c r="Q25" i="12"/>
  <c r="R25" i="12"/>
  <c r="P25" i="12"/>
  <c r="Q22" i="12"/>
  <c r="R22" i="12"/>
  <c r="P22" i="12"/>
  <c r="Q21" i="12"/>
  <c r="R21" i="12"/>
  <c r="P21" i="12"/>
  <c r="Q24" i="12"/>
  <c r="R24" i="12"/>
  <c r="P24" i="12"/>
  <c r="Q20" i="12"/>
  <c r="R20" i="12"/>
  <c r="P20" i="12"/>
  <c r="Q18" i="12"/>
  <c r="R18" i="12"/>
  <c r="P18" i="12"/>
  <c r="Q17" i="12"/>
  <c r="R17" i="12"/>
  <c r="P17" i="12"/>
  <c r="Q27" i="12"/>
  <c r="R27" i="12"/>
  <c r="P27" i="12"/>
  <c r="Q16" i="12"/>
  <c r="R16" i="12"/>
  <c r="P16" i="12"/>
  <c r="Q6" i="12"/>
  <c r="R6" i="12"/>
  <c r="S6" i="12"/>
  <c r="T6" i="12"/>
  <c r="U6" i="12"/>
  <c r="V6" i="12"/>
  <c r="W6" i="12"/>
  <c r="X6" i="12"/>
  <c r="Q8" i="12"/>
  <c r="R8" i="12"/>
  <c r="S8" i="12"/>
  <c r="T8" i="12"/>
  <c r="U8" i="12"/>
  <c r="V8" i="12"/>
  <c r="W8" i="12"/>
  <c r="X8" i="12"/>
  <c r="P8" i="12"/>
  <c r="P6" i="12"/>
  <c r="Q5" i="12"/>
  <c r="R5" i="12"/>
  <c r="S5" i="12"/>
  <c r="T5" i="12"/>
  <c r="U5" i="12"/>
  <c r="V5" i="12"/>
  <c r="W5" i="12"/>
  <c r="X5" i="12"/>
  <c r="P5" i="12"/>
  <c r="Q10" i="12"/>
  <c r="R10" i="12"/>
  <c r="S10" i="12"/>
  <c r="T10" i="12"/>
  <c r="U10" i="12"/>
  <c r="V10" i="12"/>
  <c r="W10" i="12"/>
  <c r="X10" i="12"/>
  <c r="P10" i="12"/>
  <c r="Q4" i="12"/>
  <c r="R4" i="12"/>
  <c r="S4" i="12"/>
  <c r="T4" i="12"/>
  <c r="U4" i="12"/>
  <c r="V4" i="12"/>
  <c r="W4" i="12"/>
  <c r="X4" i="12"/>
  <c r="P4" i="12"/>
  <c r="K25" i="10"/>
  <c r="L25" i="10" s="1"/>
  <c r="K24" i="10"/>
  <c r="L24" i="10" s="1"/>
  <c r="I25" i="10"/>
  <c r="J25" i="10" s="1"/>
  <c r="I24" i="10"/>
  <c r="J24" i="10" s="1"/>
  <c r="K22" i="10"/>
  <c r="L22" i="10" s="1"/>
  <c r="K21" i="10"/>
  <c r="I22" i="10"/>
  <c r="I21" i="10"/>
  <c r="K13" i="10"/>
  <c r="K14" i="10"/>
  <c r="K15" i="10"/>
  <c r="K16" i="10"/>
  <c r="K17" i="10"/>
  <c r="L17" i="10" s="1"/>
  <c r="K18" i="10"/>
  <c r="K19" i="10"/>
  <c r="K12" i="10"/>
  <c r="I13" i="10"/>
  <c r="J13" i="10" s="1"/>
  <c r="I14" i="10"/>
  <c r="I15" i="10"/>
  <c r="J16" i="10"/>
  <c r="I17" i="10"/>
  <c r="J17" i="10" s="1"/>
  <c r="I18" i="10"/>
  <c r="I19" i="10"/>
  <c r="I12" i="10"/>
  <c r="J12" i="10" s="1"/>
  <c r="I3" i="10"/>
  <c r="J3" i="10" s="1"/>
  <c r="K23" i="10"/>
  <c r="G20" i="10"/>
  <c r="H20" i="10" s="1"/>
  <c r="E20" i="10"/>
  <c r="F20" i="10" s="1"/>
  <c r="G11" i="10"/>
  <c r="H11" i="10" s="1"/>
  <c r="E11" i="10"/>
  <c r="F11" i="10" s="1"/>
  <c r="E2" i="10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2" i="10"/>
  <c r="E13" i="10"/>
  <c r="E14" i="10"/>
  <c r="E15" i="10"/>
  <c r="E16" i="10"/>
  <c r="E17" i="10"/>
  <c r="E18" i="10"/>
  <c r="E19" i="10"/>
  <c r="E21" i="10"/>
  <c r="E22" i="10"/>
  <c r="K3" i="10"/>
  <c r="L3" i="10" s="1"/>
  <c r="AD3" i="12" s="1"/>
  <c r="I4" i="10"/>
  <c r="J4" i="10" s="1"/>
  <c r="K4" i="10"/>
  <c r="L4" i="10" s="1"/>
  <c r="I5" i="10"/>
  <c r="J5" i="10" s="1"/>
  <c r="K5" i="10"/>
  <c r="L5" i="10" s="1"/>
  <c r="AD5" i="12" s="1"/>
  <c r="I6" i="10"/>
  <c r="J6" i="10" s="1"/>
  <c r="K6" i="10"/>
  <c r="L6" i="10" s="1"/>
  <c r="I7" i="10"/>
  <c r="J7" i="10" s="1"/>
  <c r="K7" i="10"/>
  <c r="L7" i="10" s="1"/>
  <c r="AD4" i="12" s="1"/>
  <c r="I8" i="10"/>
  <c r="J8" i="10" s="1"/>
  <c r="K8" i="10"/>
  <c r="L8" i="10" s="1"/>
  <c r="I9" i="10"/>
  <c r="J9" i="10" s="1"/>
  <c r="K9" i="10"/>
  <c r="L9" i="10" s="1"/>
  <c r="AD6" i="12" s="1"/>
  <c r="I10" i="10"/>
  <c r="J10" i="10" s="1"/>
  <c r="K10" i="10"/>
  <c r="L10" i="10" s="1"/>
  <c r="G3" i="10"/>
  <c r="H3" i="10" s="1"/>
  <c r="G4" i="10"/>
  <c r="H4" i="10" s="1"/>
  <c r="G22" i="12" s="1"/>
  <c r="G5" i="10"/>
  <c r="H5" i="10" s="1"/>
  <c r="G19" i="12" s="1"/>
  <c r="G6" i="10"/>
  <c r="H6" i="10" s="1"/>
  <c r="G24" i="12" s="1"/>
  <c r="G7" i="10"/>
  <c r="H7" i="10" s="1"/>
  <c r="G18" i="12" s="1"/>
  <c r="G8" i="10"/>
  <c r="H8" i="10" s="1"/>
  <c r="G23" i="12" s="1"/>
  <c r="G9" i="10"/>
  <c r="H9" i="10" s="1"/>
  <c r="G10" i="10"/>
  <c r="H10" i="10" s="1"/>
  <c r="I23" i="10"/>
  <c r="J23" i="10" s="1"/>
  <c r="G2" i="10"/>
  <c r="G17" i="10"/>
  <c r="H17" i="10" s="1"/>
  <c r="H23" i="12" s="1"/>
  <c r="R5" i="9"/>
  <c r="Q4" i="9" s="1"/>
  <c r="P5" i="9" s="1"/>
  <c r="M2" i="1"/>
  <c r="N2" i="1" s="1"/>
  <c r="K2" i="1"/>
  <c r="L2" i="1" s="1"/>
  <c r="R5" i="2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6" i="1"/>
  <c r="N46" i="1" s="1"/>
  <c r="M47" i="1"/>
  <c r="N47" i="1" s="1"/>
  <c r="M48" i="1"/>
  <c r="N48" i="1" s="1"/>
  <c r="G11" i="12" s="1"/>
  <c r="M49" i="1"/>
  <c r="N49" i="1" s="1"/>
  <c r="G5" i="12" s="1"/>
  <c r="M50" i="1"/>
  <c r="N50" i="1" s="1"/>
  <c r="G10" i="12" s="1"/>
  <c r="M51" i="1"/>
  <c r="N51" i="1" s="1"/>
  <c r="M52" i="1"/>
  <c r="N52" i="1" s="1"/>
  <c r="M53" i="1"/>
  <c r="N53" i="1" s="1"/>
  <c r="H7" i="12" s="1"/>
  <c r="M54" i="1"/>
  <c r="N54" i="1" s="1"/>
  <c r="H12" i="12" s="1"/>
  <c r="K45" i="1"/>
  <c r="L45" i="1" s="1"/>
  <c r="K46" i="1"/>
  <c r="L46" i="1" s="1"/>
  <c r="K47" i="1"/>
  <c r="L47" i="1" s="1"/>
  <c r="K48" i="1"/>
  <c r="L48" i="1" s="1"/>
  <c r="K49" i="1"/>
  <c r="K50" i="1"/>
  <c r="L50" i="1" s="1"/>
  <c r="K51" i="1"/>
  <c r="L51" i="1" s="1"/>
  <c r="K52" i="1"/>
  <c r="L52" i="1" s="1"/>
  <c r="K53" i="1"/>
  <c r="K54" i="1"/>
  <c r="L54" i="1" s="1"/>
  <c r="K44" i="1"/>
  <c r="L44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30" i="1"/>
  <c r="L30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16" i="1"/>
  <c r="L16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L49" i="1"/>
  <c r="C17" i="6" l="1"/>
  <c r="B17" i="6"/>
  <c r="C18" i="6"/>
  <c r="B24" i="6"/>
  <c r="AB5" i="12"/>
  <c r="B18" i="6"/>
  <c r="C4" i="6"/>
  <c r="C19" i="6"/>
  <c r="AB6" i="12"/>
  <c r="B19" i="6"/>
  <c r="B23" i="6"/>
  <c r="B25" i="6"/>
  <c r="AC6" i="12"/>
  <c r="B3" i="6"/>
  <c r="C5" i="6"/>
  <c r="B4" i="6"/>
  <c r="B5" i="6"/>
  <c r="B9" i="6"/>
  <c r="B10" i="6"/>
  <c r="B11" i="6"/>
  <c r="C3" i="6"/>
  <c r="B19" i="12"/>
  <c r="G20" i="12"/>
  <c r="G17" i="12"/>
  <c r="B16" i="12"/>
  <c r="B18" i="12"/>
  <c r="G25" i="12"/>
  <c r="B17" i="12"/>
  <c r="G9" i="12"/>
  <c r="G4" i="12"/>
  <c r="B3" i="12"/>
  <c r="G7" i="12"/>
  <c r="C6" i="6"/>
  <c r="B20" i="6"/>
  <c r="C20" i="6"/>
  <c r="B6" i="6"/>
  <c r="B4" i="12"/>
  <c r="B5" i="12"/>
  <c r="B6" i="12"/>
  <c r="C6" i="12"/>
  <c r="G6" i="12"/>
  <c r="G12" i="12"/>
  <c r="B12" i="6"/>
  <c r="B26" i="6"/>
  <c r="J14" i="10"/>
  <c r="J19" i="10"/>
  <c r="L18" i="10"/>
  <c r="AE6" i="12" s="1"/>
  <c r="F19" i="10"/>
  <c r="L16" i="10"/>
  <c r="AE4" i="12" s="1"/>
  <c r="F21" i="10"/>
  <c r="F14" i="10"/>
  <c r="F18" i="10"/>
  <c r="G19" i="10"/>
  <c r="H19" i="10" s="1"/>
  <c r="H25" i="12" s="1"/>
  <c r="F12" i="10"/>
  <c r="G13" i="10"/>
  <c r="H13" i="10" s="1"/>
  <c r="F17" i="10"/>
  <c r="F2" i="10"/>
  <c r="F13" i="10"/>
  <c r="J18" i="10"/>
  <c r="H2" i="10"/>
  <c r="L12" i="10"/>
  <c r="G14" i="10"/>
  <c r="H14" i="10" s="1"/>
  <c r="F15" i="10"/>
  <c r="F22" i="10"/>
  <c r="L23" i="10"/>
  <c r="L13" i="10"/>
  <c r="G15" i="10"/>
  <c r="H15" i="10" s="1"/>
  <c r="H24" i="12" s="1"/>
  <c r="F16" i="10"/>
  <c r="L19" i="10"/>
  <c r="J21" i="10"/>
  <c r="G22" i="10"/>
  <c r="H22" i="10" s="1"/>
  <c r="I25" i="12" s="1"/>
  <c r="G21" i="10"/>
  <c r="H21" i="10" s="1"/>
  <c r="L14" i="10"/>
  <c r="AE5" i="12" s="1"/>
  <c r="J15" i="10"/>
  <c r="G16" i="10"/>
  <c r="H16" i="10" s="1"/>
  <c r="L21" i="10"/>
  <c r="AF6" i="12" s="1"/>
  <c r="J22" i="10"/>
  <c r="G18" i="10"/>
  <c r="H18" i="10" s="1"/>
  <c r="L15" i="10"/>
  <c r="G12" i="10"/>
  <c r="H12" i="10" s="1"/>
  <c r="O5" i="9"/>
  <c r="J34" i="2"/>
  <c r="K34" i="2" s="1"/>
  <c r="E22" i="2"/>
  <c r="F22" i="2" s="1"/>
  <c r="G45" i="2"/>
  <c r="G40" i="2"/>
  <c r="H40" i="2" s="1"/>
  <c r="E17" i="2"/>
  <c r="F17" i="2" s="1"/>
  <c r="G44" i="2"/>
  <c r="H44" i="2" s="1"/>
  <c r="E21" i="2"/>
  <c r="F21" i="2" s="1"/>
  <c r="G3" i="2"/>
  <c r="G7" i="2"/>
  <c r="H7" i="2" s="1"/>
  <c r="L10" i="2"/>
  <c r="M10" i="2" s="1"/>
  <c r="J9" i="2"/>
  <c r="K9" i="2" s="1"/>
  <c r="L44" i="2"/>
  <c r="M44" i="2" s="1"/>
  <c r="E8" i="2"/>
  <c r="F8" i="2" s="1"/>
  <c r="G19" i="2"/>
  <c r="H19" i="2" s="1"/>
  <c r="E4" i="2"/>
  <c r="F4" i="2" s="1"/>
  <c r="E42" i="2"/>
  <c r="F42" i="2" s="1"/>
  <c r="J42" i="2"/>
  <c r="K42" i="2" s="1"/>
  <c r="J18" i="2"/>
  <c r="K18" i="2" s="1"/>
  <c r="L40" i="2"/>
  <c r="M40" i="2" s="1"/>
  <c r="E41" i="2"/>
  <c r="F41" i="2" s="1"/>
  <c r="E7" i="2"/>
  <c r="F7" i="2" s="1"/>
  <c r="J10" i="2"/>
  <c r="K10" i="2" s="1"/>
  <c r="E43" i="2"/>
  <c r="F43" i="2" s="1"/>
  <c r="L42" i="2"/>
  <c r="M42" i="2" s="1"/>
  <c r="J4" i="2"/>
  <c r="K4" i="2" s="1"/>
  <c r="E46" i="2"/>
  <c r="F46" i="2" s="1"/>
  <c r="G16" i="2"/>
  <c r="H16" i="2" s="1"/>
  <c r="E44" i="2"/>
  <c r="F44" i="2" s="1"/>
  <c r="E9" i="2"/>
  <c r="E3" i="2"/>
  <c r="G17" i="2"/>
  <c r="H17" i="2" s="1"/>
  <c r="G27" i="2"/>
  <c r="E30" i="2"/>
  <c r="F30" i="2" s="1"/>
  <c r="G39" i="2"/>
  <c r="E39" i="2"/>
  <c r="G33" i="2"/>
  <c r="G29" i="2"/>
  <c r="H29" i="2" s="1"/>
  <c r="E45" i="2"/>
  <c r="J6" i="2"/>
  <c r="K6" i="2" s="1"/>
  <c r="G18" i="2"/>
  <c r="H18" i="2" s="1"/>
  <c r="E33" i="2"/>
  <c r="G22" i="2"/>
  <c r="H22" i="2" s="1"/>
  <c r="L29" i="2"/>
  <c r="M29" i="2" s="1"/>
  <c r="G9" i="2"/>
  <c r="G32" i="2"/>
  <c r="H32" i="2" s="1"/>
  <c r="G4" i="2"/>
  <c r="H4" i="2" s="1"/>
  <c r="L53" i="1"/>
  <c r="G42" i="2"/>
  <c r="H42" i="2" s="1"/>
  <c r="G41" i="2"/>
  <c r="H41" i="2" s="1"/>
  <c r="E28" i="2"/>
  <c r="F28" i="2" s="1"/>
  <c r="E31" i="2"/>
  <c r="F31" i="2" s="1"/>
  <c r="E29" i="2"/>
  <c r="F29" i="2" s="1"/>
  <c r="G28" i="2"/>
  <c r="H28" i="2" s="1"/>
  <c r="G30" i="2"/>
  <c r="H30" i="2" s="1"/>
  <c r="E19" i="2"/>
  <c r="F19" i="2" s="1"/>
  <c r="G20" i="2"/>
  <c r="H20" i="2" s="1"/>
  <c r="G15" i="2"/>
  <c r="E15" i="2"/>
  <c r="F15" i="2" s="1"/>
  <c r="G43" i="2"/>
  <c r="H43" i="2" s="1"/>
  <c r="E20" i="2"/>
  <c r="F20" i="2" s="1"/>
  <c r="E32" i="2"/>
  <c r="F32" i="2" s="1"/>
  <c r="E26" i="2"/>
  <c r="F26" i="2" s="1"/>
  <c r="G10" i="2"/>
  <c r="H10" i="2" s="1"/>
  <c r="G8" i="2"/>
  <c r="H8" i="2" s="1"/>
  <c r="E10" i="2"/>
  <c r="F10" i="2" s="1"/>
  <c r="E18" i="2"/>
  <c r="F18" i="2" s="1"/>
  <c r="E27" i="2"/>
  <c r="E40" i="2"/>
  <c r="F40" i="2" s="1"/>
  <c r="G6" i="2"/>
  <c r="H6" i="2" s="1"/>
  <c r="G5" i="2"/>
  <c r="H5" i="2" s="1"/>
  <c r="E16" i="2"/>
  <c r="F16" i="2" s="1"/>
  <c r="G34" i="2"/>
  <c r="H34" i="2" s="1"/>
  <c r="G46" i="2"/>
  <c r="H46" i="2" s="1"/>
  <c r="E6" i="2"/>
  <c r="F6" i="2" s="1"/>
  <c r="E5" i="2"/>
  <c r="F5" i="2" s="1"/>
  <c r="G21" i="2"/>
  <c r="E34" i="2"/>
  <c r="F34" i="2" s="1"/>
  <c r="G31" i="2"/>
  <c r="H31" i="2" s="1"/>
  <c r="E2" i="2"/>
  <c r="F2" i="2" s="1"/>
  <c r="G2" i="2"/>
  <c r="H2" i="2" s="1"/>
  <c r="Q4" i="2"/>
  <c r="AE3" i="12" l="1"/>
  <c r="F18" i="6"/>
  <c r="F4" i="6"/>
  <c r="E17" i="6"/>
  <c r="E3" i="6"/>
  <c r="E18" i="6"/>
  <c r="E4" i="6"/>
  <c r="F17" i="6"/>
  <c r="F3" i="6"/>
  <c r="H3" i="2"/>
  <c r="C23" i="6" s="1"/>
  <c r="C9" i="6"/>
  <c r="H21" i="2"/>
  <c r="D18" i="6" s="1"/>
  <c r="D4" i="6"/>
  <c r="H9" i="2"/>
  <c r="D17" i="6" s="1"/>
  <c r="D3" i="6"/>
  <c r="J21" i="2"/>
  <c r="K21" i="2" s="1"/>
  <c r="J40" i="2"/>
  <c r="K40" i="2" s="1"/>
  <c r="J32" i="2"/>
  <c r="K32" i="2" s="1"/>
  <c r="J41" i="2"/>
  <c r="K41" i="2" s="1"/>
  <c r="L30" i="2"/>
  <c r="M30" i="2" s="1"/>
  <c r="H27" i="2"/>
  <c r="C25" i="6" s="1"/>
  <c r="C11" i="6"/>
  <c r="H39" i="2"/>
  <c r="C26" i="6" s="1"/>
  <c r="C12" i="6"/>
  <c r="H45" i="2"/>
  <c r="D20" i="6" s="1"/>
  <c r="D6" i="6"/>
  <c r="H33" i="2"/>
  <c r="D19" i="6" s="1"/>
  <c r="D5" i="6"/>
  <c r="H15" i="2"/>
  <c r="C24" i="6" s="1"/>
  <c r="C10" i="6"/>
  <c r="H18" i="12"/>
  <c r="C17" i="12"/>
  <c r="H22" i="12"/>
  <c r="D19" i="12"/>
  <c r="I20" i="12"/>
  <c r="C19" i="12"/>
  <c r="H20" i="12"/>
  <c r="H19" i="12"/>
  <c r="C18" i="12"/>
  <c r="C16" i="12"/>
  <c r="H17" i="12"/>
  <c r="E20" i="6"/>
  <c r="E6" i="6"/>
  <c r="F20" i="6"/>
  <c r="F6" i="6"/>
  <c r="E19" i="6"/>
  <c r="E5" i="6"/>
  <c r="F19" i="6"/>
  <c r="F5" i="6"/>
  <c r="D26" i="6"/>
  <c r="D12" i="6"/>
  <c r="D25" i="6"/>
  <c r="D11" i="6"/>
  <c r="D24" i="6"/>
  <c r="D10" i="6"/>
  <c r="D23" i="6"/>
  <c r="D9" i="6"/>
  <c r="G14" i="2"/>
  <c r="H14" i="2" s="1"/>
  <c r="L5" i="2"/>
  <c r="M5" i="2" s="1"/>
  <c r="J20" i="2"/>
  <c r="K20" i="2" s="1"/>
  <c r="L21" i="2"/>
  <c r="M21" i="2" s="1"/>
  <c r="J3" i="2"/>
  <c r="K3" i="2" s="1"/>
  <c r="J45" i="2"/>
  <c r="K45" i="2" s="1"/>
  <c r="L22" i="2"/>
  <c r="M22" i="2" s="1"/>
  <c r="G38" i="2"/>
  <c r="H38" i="2" s="1"/>
  <c r="L19" i="2"/>
  <c r="M19" i="2" s="1"/>
  <c r="L3" i="2"/>
  <c r="M3" i="2" s="1"/>
  <c r="L35" i="2"/>
  <c r="M35" i="2" s="1"/>
  <c r="J23" i="2"/>
  <c r="K23" i="2" s="1"/>
  <c r="J7" i="2"/>
  <c r="K7" i="2" s="1"/>
  <c r="L47" i="2"/>
  <c r="M47" i="2" s="1"/>
  <c r="L31" i="2"/>
  <c r="M31" i="2" s="1"/>
  <c r="J35" i="2"/>
  <c r="K35" i="2" s="1"/>
  <c r="J30" i="2"/>
  <c r="K30" i="2" s="1"/>
  <c r="L6" i="2"/>
  <c r="M6" i="2" s="1"/>
  <c r="J33" i="2"/>
  <c r="K33" i="2" s="1"/>
  <c r="J8" i="2"/>
  <c r="K8" i="2" s="1"/>
  <c r="L17" i="2"/>
  <c r="M17" i="2" s="1"/>
  <c r="J31" i="2"/>
  <c r="K31" i="2" s="1"/>
  <c r="L33" i="2"/>
  <c r="M33" i="2" s="1"/>
  <c r="L15" i="2"/>
  <c r="M15" i="2" s="1"/>
  <c r="L39" i="2"/>
  <c r="M39" i="2" s="1"/>
  <c r="L32" i="2"/>
  <c r="M32" i="2" s="1"/>
  <c r="J19" i="2"/>
  <c r="K19" i="2" s="1"/>
  <c r="L4" i="2"/>
  <c r="M4" i="2" s="1"/>
  <c r="L20" i="2"/>
  <c r="M20" i="2" s="1"/>
  <c r="J29" i="2"/>
  <c r="K29" i="2" s="1"/>
  <c r="J43" i="2"/>
  <c r="K43" i="2" s="1"/>
  <c r="L34" i="2"/>
  <c r="M34" i="2" s="1"/>
  <c r="J11" i="2"/>
  <c r="K11" i="2" s="1"/>
  <c r="L7" i="2"/>
  <c r="M7" i="2" s="1"/>
  <c r="E38" i="2"/>
  <c r="F38" i="2" s="1"/>
  <c r="L18" i="2"/>
  <c r="M18" i="2" s="1"/>
  <c r="J15" i="2"/>
  <c r="K15" i="2" s="1"/>
  <c r="L16" i="2"/>
  <c r="M16" i="2" s="1"/>
  <c r="J46" i="2"/>
  <c r="K46" i="2" s="1"/>
  <c r="E14" i="2"/>
  <c r="F14" i="2" s="1"/>
  <c r="J22" i="2"/>
  <c r="K22" i="2" s="1"/>
  <c r="L9" i="2"/>
  <c r="M9" i="2" s="1"/>
  <c r="L23" i="2"/>
  <c r="M23" i="2" s="1"/>
  <c r="L43" i="2"/>
  <c r="M43" i="2" s="1"/>
  <c r="J5" i="2"/>
  <c r="K5" i="2" s="1"/>
  <c r="L45" i="2"/>
  <c r="M45" i="2" s="1"/>
  <c r="J16" i="2"/>
  <c r="K16" i="2" s="1"/>
  <c r="L8" i="2"/>
  <c r="M8" i="2" s="1"/>
  <c r="L41" i="2"/>
  <c r="M41" i="2" s="1"/>
  <c r="J44" i="2"/>
  <c r="K44" i="2" s="1"/>
  <c r="J17" i="2"/>
  <c r="K17" i="2" s="1"/>
  <c r="J27" i="2"/>
  <c r="K27" i="2" s="1"/>
  <c r="J47" i="2"/>
  <c r="K47" i="2" s="1"/>
  <c r="J39" i="2"/>
  <c r="K39" i="2" s="1"/>
  <c r="L27" i="2"/>
  <c r="M27" i="2" s="1"/>
  <c r="L11" i="2"/>
  <c r="M11" i="2" s="1"/>
  <c r="L46" i="2"/>
  <c r="M46" i="2" s="1"/>
  <c r="J28" i="2"/>
  <c r="K28" i="2" s="1"/>
  <c r="L28" i="2"/>
  <c r="M28" i="2" s="1"/>
  <c r="G26" i="2"/>
  <c r="H26" i="2" s="1"/>
  <c r="F9" i="2"/>
  <c r="F33" i="2"/>
  <c r="F27" i="2"/>
  <c r="F45" i="2"/>
  <c r="F39" i="2"/>
  <c r="F3" i="2"/>
  <c r="P5" i="2"/>
  <c r="O5" i="2"/>
</calcChain>
</file>

<file path=xl/sharedStrings.xml><?xml version="1.0" encoding="utf-8"?>
<sst xmlns="http://schemas.openxmlformats.org/spreadsheetml/2006/main" count="532" uniqueCount="95">
  <si>
    <t>FP</t>
  </si>
  <si>
    <t>JJ</t>
  </si>
  <si>
    <t>MEO</t>
  </si>
  <si>
    <t>JK</t>
  </si>
  <si>
    <t>JAK</t>
  </si>
  <si>
    <t>EA</t>
  </si>
  <si>
    <t>EM</t>
  </si>
  <si>
    <t>HM</t>
  </si>
  <si>
    <t>Blanco</t>
  </si>
  <si>
    <t>ECM</t>
  </si>
  <si>
    <t>RECM</t>
  </si>
  <si>
    <t>ECM (+B)</t>
  </si>
  <si>
    <t>RECM (+B)</t>
  </si>
  <si>
    <t xml:space="preserve"> </t>
  </si>
  <si>
    <t xml:space="preserve">Encuestas Humanas </t>
  </si>
  <si>
    <t>API - P.original - GPT 4</t>
  </si>
  <si>
    <t>API - P.perfecto - GPT 4</t>
  </si>
  <si>
    <t>API - P.original - GPT 5</t>
  </si>
  <si>
    <t>API - P.perfecto - GPT 5</t>
  </si>
  <si>
    <t>API - P.original - GPT 4o mini</t>
  </si>
  <si>
    <t>API - P.perfecto - GPT 4o mini</t>
  </si>
  <si>
    <t>CHAT - P.original - GPT 5</t>
  </si>
  <si>
    <t>CHAT - P.perfecto - GPT 5</t>
  </si>
  <si>
    <t>CHAT - P.original - GPT 5 - Post</t>
  </si>
  <si>
    <t>CHAT - P.perfecto - GPT 5 - Post</t>
  </si>
  <si>
    <t>Resultados Reales</t>
  </si>
  <si>
    <t>Encuestas Humanas</t>
  </si>
  <si>
    <t>REALES</t>
  </si>
  <si>
    <t>APROX</t>
  </si>
  <si>
    <t>BLANCO</t>
  </si>
  <si>
    <t>Encuestas Humanas - Ronda 2.2</t>
  </si>
  <si>
    <t>CHAT - P.original - GPT 5 - 2.2</t>
  </si>
  <si>
    <t>CHAT - P.perfecto - GPT 5 - 2.2</t>
  </si>
  <si>
    <t>Encuestas Humanas - Ronda 2.3</t>
  </si>
  <si>
    <t>CHAT - P.original - GPT 5 - 2.3</t>
  </si>
  <si>
    <t>CHAT - P.perfecto - GPT 5 - 2.3</t>
  </si>
  <si>
    <t>2.2</t>
  </si>
  <si>
    <t>2.3</t>
  </si>
  <si>
    <t xml:space="preserve">Encuesta (PIMLE) </t>
  </si>
  <si>
    <t>Blank</t>
  </si>
  <si>
    <t>Encuestas Humanas - Ronda 2.1</t>
  </si>
  <si>
    <t>CHAT - P.original - GPT 5 - 2.1</t>
  </si>
  <si>
    <t>CHAT - P.perfecto - GPT 5 - 2.1</t>
  </si>
  <si>
    <t xml:space="preserve">API - P.original - GPT 4 </t>
  </si>
  <si>
    <t>2.1</t>
  </si>
  <si>
    <t>NAIVE</t>
  </si>
  <si>
    <t>MOS</t>
  </si>
  <si>
    <t>MLE</t>
  </si>
  <si>
    <t>PIMLE</t>
  </si>
  <si>
    <t>-</t>
  </si>
  <si>
    <t>Modelo y Acceso</t>
  </si>
  <si>
    <t>Tabla 5 - Comparativa LLM - Primera Ronda (PIMLE)</t>
  </si>
  <si>
    <t>GPT 4 - API</t>
  </si>
  <si>
    <t>GPT 4o - API</t>
  </si>
  <si>
    <t>GPT 5 - API</t>
  </si>
  <si>
    <t xml:space="preserve">GPT 5 - ONLINE </t>
  </si>
  <si>
    <t>Tabla 6 - Comparativa Prompt - Primera Ronda (PIMLE)</t>
  </si>
  <si>
    <t>Tabla 7 - Comparativa LLM - Segunda Ronda (PIMLE)</t>
  </si>
  <si>
    <t>Resultados reales</t>
  </si>
  <si>
    <t>Estimación - Encuesta</t>
  </si>
  <si>
    <t>P.Original</t>
  </si>
  <si>
    <t>P.Perfecto</t>
  </si>
  <si>
    <t>Tabla 8 - Comparativa Prompt - Segunda Ronda (PIMLE)</t>
  </si>
  <si>
    <t>Tabla 9 - Estimaciones PIMLE - Primera Ronda</t>
  </si>
  <si>
    <t>API - GPT4 - P.Original</t>
  </si>
  <si>
    <t>CHAT - GPT5 - P.Original</t>
  </si>
  <si>
    <t>CHAT - GPT5 - P.Perfect</t>
  </si>
  <si>
    <t>Tabla 10 - Estimaciones PIMLE - Segunda Ronda</t>
  </si>
  <si>
    <t>API - GPT 5 - P.perfect</t>
  </si>
  <si>
    <t>CHAT - GPT 5 - P.perfect</t>
  </si>
  <si>
    <t>API - GPT 5 - P.original</t>
  </si>
  <si>
    <t>Tabla 11 - Comparativa Emulación LLM (PIMLE)</t>
  </si>
  <si>
    <t xml:space="preserve">API - P.original - GPT 5 </t>
  </si>
  <si>
    <t xml:space="preserve"> (NAIVE)</t>
  </si>
  <si>
    <t xml:space="preserve"> (MOS)</t>
  </si>
  <si>
    <t xml:space="preserve"> (MLE)</t>
  </si>
  <si>
    <t xml:space="preserve"> (PIMLE)</t>
  </si>
  <si>
    <t>MSE</t>
  </si>
  <si>
    <t>RMSE</t>
  </si>
  <si>
    <t>MSE (+Blank)</t>
  </si>
  <si>
    <t>RMSE (+Blank)</t>
  </si>
  <si>
    <t xml:space="preserve">  </t>
  </si>
  <si>
    <t>Emulation</t>
  </si>
  <si>
    <t>Using MSE considering Blank votes</t>
  </si>
  <si>
    <t>Using RMSE considering Blank votes</t>
  </si>
  <si>
    <t>CHAT - Estimator</t>
  </si>
  <si>
    <t>1st Round - 8/11</t>
  </si>
  <si>
    <t>1st Round - 21/11</t>
  </si>
  <si>
    <t>2nd Round - 24/11</t>
  </si>
  <si>
    <t>2nd Round - 4/12</t>
  </si>
  <si>
    <t>2nd Round  - 12/12</t>
  </si>
  <si>
    <t>2nd Round  (2)</t>
  </si>
  <si>
    <t>2nd Round (1)</t>
  </si>
  <si>
    <t xml:space="preserve">1st Round </t>
  </si>
  <si>
    <t>API - Estimator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</si>
</sst>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2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2" fontId="0" fillId="4" borderId="1" xfId="0" applyNumberFormat="1" applyFill="1" applyBorder="1"/>
    <xf numFmtId="0" fontId="1" fillId="0" borderId="0" xfId="0" applyFont="1"/>
    <xf numFmtId="0" fontId="1" fillId="5" borderId="1" xfId="0" applyFont="1" applyFill="1" applyBorder="1"/>
    <xf numFmtId="0" fontId="0" fillId="6" borderId="1" xfId="0" applyFill="1" applyBorder="1"/>
    <xf numFmtId="2" fontId="0" fillId="3" borderId="1" xfId="0" applyNumberFormat="1" applyFill="1" applyBorder="1"/>
    <xf numFmtId="2" fontId="1" fillId="7" borderId="1" xfId="0" applyNumberFormat="1" applyFont="1" applyFill="1" applyBorder="1"/>
    <xf numFmtId="0" fontId="1" fillId="0" borderId="1" xfId="0" applyFont="1" applyBorder="1" applyAlignment="1">
      <alignment horizontal="center" vertical="top"/>
    </xf>
    <xf numFmtId="0" fontId="1" fillId="8" borderId="1" xfId="0" applyFont="1" applyFill="1" applyBorder="1"/>
    <xf numFmtId="0" fontId="0" fillId="5" borderId="1" xfId="0" applyFill="1" applyBorder="1"/>
    <xf numFmtId="0" fontId="0" fillId="8" borderId="1" xfId="0" applyFill="1" applyBorder="1"/>
    <xf numFmtId="2" fontId="0" fillId="8" borderId="1" xfId="0" applyNumberFormat="1" applyFill="1" applyBorder="1"/>
    <xf numFmtId="2" fontId="1" fillId="5" borderId="1" xfId="0" applyNumberFormat="1" applyFont="1" applyFill="1" applyBorder="1"/>
    <xf numFmtId="2" fontId="0" fillId="0" borderId="0" xfId="0" applyNumberFormat="1"/>
    <xf numFmtId="0" fontId="1" fillId="3" borderId="1" xfId="0" applyFont="1" applyFill="1" applyBorder="1"/>
    <xf numFmtId="0" fontId="1" fillId="4" borderId="1" xfId="0" applyFont="1" applyFill="1" applyBorder="1"/>
    <xf numFmtId="2" fontId="1" fillId="3" borderId="1" xfId="0" applyNumberFormat="1" applyFont="1" applyFill="1" applyBorder="1"/>
    <xf numFmtId="2" fontId="1" fillId="4" borderId="1" xfId="0" applyNumberFormat="1" applyFont="1" applyFill="1" applyBorder="1"/>
    <xf numFmtId="2" fontId="1" fillId="8" borderId="1" xfId="0" applyNumberFormat="1" applyFont="1" applyFill="1" applyBorder="1"/>
    <xf numFmtId="2" fontId="0" fillId="7" borderId="1" xfId="0" applyNumberFormat="1" applyFill="1" applyBorder="1"/>
    <xf numFmtId="2" fontId="0" fillId="5" borderId="1" xfId="0" applyNumberFormat="1" applyFill="1" applyBorder="1"/>
    <xf numFmtId="0" fontId="1" fillId="7" borderId="1" xfId="0" applyFont="1" applyFill="1" applyBorder="1"/>
    <xf numFmtId="0" fontId="2" fillId="0" borderId="0" xfId="0" applyFont="1"/>
    <xf numFmtId="0" fontId="0" fillId="9" borderId="1" xfId="0" applyFill="1" applyBorder="1"/>
    <xf numFmtId="0" fontId="0" fillId="10" borderId="1" xfId="0" applyFill="1" applyBorder="1"/>
    <xf numFmtId="0" fontId="3" fillId="0" borderId="0" xfId="0" applyFont="1"/>
    <xf numFmtId="2" fontId="0" fillId="6" borderId="1" xfId="0" applyNumberFormat="1" applyFill="1" applyBorder="1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/>
    <xf numFmtId="2" fontId="5" fillId="0" borderId="1" xfId="0" applyNumberFormat="1" applyFont="1" applyBorder="1"/>
    <xf numFmtId="2" fontId="2" fillId="3" borderId="1" xfId="0" applyNumberFormat="1" applyFont="1" applyFill="1" applyBorder="1"/>
    <xf numFmtId="2" fontId="2" fillId="4" borderId="1" xfId="0" applyNumberFormat="1" applyFont="1" applyFill="1" applyBorder="1"/>
    <xf numFmtId="0" fontId="1" fillId="1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5" borderId="1" xfId="0" applyFont="1" applyFill="1" applyBorder="1"/>
    <xf numFmtId="2" fontId="2" fillId="5" borderId="1" xfId="0" applyNumberFormat="1" applyFont="1" applyFill="1" applyBorder="1"/>
    <xf numFmtId="2" fontId="2" fillId="7" borderId="1" xfId="0" applyNumberFormat="1" applyFont="1" applyFill="1" applyBorder="1"/>
    <xf numFmtId="0" fontId="0" fillId="6" borderId="2" xfId="0" applyFill="1" applyBorder="1"/>
    <xf numFmtId="2" fontId="0" fillId="6" borderId="2" xfId="0" applyNumberFormat="1" applyFill="1" applyBorder="1"/>
    <xf numFmtId="0" fontId="0" fillId="2" borderId="5" xfId="0" applyFill="1" applyBorder="1"/>
    <xf numFmtId="2" fontId="0" fillId="2" borderId="5" xfId="0" applyNumberFormat="1" applyFill="1" applyBorder="1"/>
    <xf numFmtId="0" fontId="1" fillId="0" borderId="5" xfId="0" applyFont="1" applyBorder="1" applyAlignment="1">
      <alignment horizontal="center" vertical="top"/>
    </xf>
    <xf numFmtId="0" fontId="0" fillId="4" borderId="6" xfId="0" applyFill="1" applyBorder="1"/>
    <xf numFmtId="2" fontId="0" fillId="4" borderId="7" xfId="0" applyNumberFormat="1" applyFill="1" applyBorder="1"/>
    <xf numFmtId="2" fontId="0" fillId="4" borderId="8" xfId="0" applyNumberFormat="1" applyFill="1" applyBorder="1"/>
    <xf numFmtId="0" fontId="0" fillId="3" borderId="9" xfId="0" applyFill="1" applyBorder="1"/>
    <xf numFmtId="2" fontId="0" fillId="4" borderId="10" xfId="0" applyNumberFormat="1" applyFill="1" applyBorder="1"/>
    <xf numFmtId="0" fontId="2" fillId="4" borderId="9" xfId="0" applyFont="1" applyFill="1" applyBorder="1"/>
    <xf numFmtId="2" fontId="2" fillId="4" borderId="10" xfId="0" applyNumberFormat="1" applyFont="1" applyFill="1" applyBorder="1"/>
    <xf numFmtId="0" fontId="1" fillId="3" borderId="9" xfId="0" applyFont="1" applyFill="1" applyBorder="1"/>
    <xf numFmtId="2" fontId="1" fillId="4" borderId="10" xfId="0" applyNumberFormat="1" applyFont="1" applyFill="1" applyBorder="1"/>
    <xf numFmtId="0" fontId="0" fillId="5" borderId="9" xfId="0" applyFill="1" applyBorder="1"/>
    <xf numFmtId="2" fontId="0" fillId="7" borderId="10" xfId="0" applyNumberFormat="1" applyFill="1" applyBorder="1"/>
    <xf numFmtId="0" fontId="1" fillId="5" borderId="11" xfId="0" applyFont="1" applyFill="1" applyBorder="1"/>
    <xf numFmtId="2" fontId="1" fillId="5" borderId="12" xfId="0" applyNumberFormat="1" applyFont="1" applyFill="1" applyBorder="1"/>
    <xf numFmtId="2" fontId="1" fillId="5" borderId="13" xfId="0" applyNumberFormat="1" applyFont="1" applyFill="1" applyBorder="1"/>
    <xf numFmtId="0" fontId="0" fillId="2" borderId="14" xfId="0" applyFill="1" applyBorder="1"/>
    <xf numFmtId="2" fontId="0" fillId="2" borderId="14" xfId="0" applyNumberFormat="1" applyFill="1" applyBorder="1"/>
    <xf numFmtId="2" fontId="0" fillId="3" borderId="7" xfId="0" applyNumberFormat="1" applyFill="1" applyBorder="1"/>
    <xf numFmtId="0" fontId="0" fillId="3" borderId="15" xfId="0" applyFill="1" applyBorder="1"/>
    <xf numFmtId="2" fontId="0" fillId="5" borderId="10" xfId="0" applyNumberFormat="1" applyFill="1" applyBorder="1"/>
    <xf numFmtId="0" fontId="0" fillId="5" borderId="6" xfId="0" applyFill="1" applyBorder="1"/>
    <xf numFmtId="2" fontId="0" fillId="5" borderId="7" xfId="0" applyNumberFormat="1" applyFill="1" applyBorder="1"/>
    <xf numFmtId="2" fontId="0" fillId="7" borderId="7" xfId="0" applyNumberFormat="1" applyFill="1" applyBorder="1"/>
    <xf numFmtId="2" fontId="0" fillId="5" borderId="8" xfId="0" applyNumberFormat="1" applyFill="1" applyBorder="1"/>
    <xf numFmtId="2" fontId="1" fillId="7" borderId="12" xfId="0" applyNumberFormat="1" applyFont="1" applyFill="1" applyBorder="1"/>
    <xf numFmtId="0" fontId="1" fillId="0" borderId="14" xfId="0" applyFont="1" applyBorder="1" applyAlignment="1">
      <alignment horizontal="center" vertical="top"/>
    </xf>
    <xf numFmtId="2" fontId="0" fillId="0" borderId="1" xfId="0" applyNumberFormat="1" applyBorder="1"/>
    <xf numFmtId="166" fontId="5" fillId="0" borderId="1" xfId="0" applyNumberFormat="1" applyFont="1" applyBorder="1"/>
    <xf numFmtId="165" fontId="5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2" fillId="4" borderId="1" xfId="0" applyFont="1" applyFill="1" applyBorder="1"/>
    <xf numFmtId="0" fontId="0" fillId="0" borderId="18" xfId="0" applyBorder="1"/>
    <xf numFmtId="0" fontId="0" fillId="14" borderId="19" xfId="0" applyFill="1" applyBorder="1"/>
    <xf numFmtId="0" fontId="0" fillId="0" borderId="20" xfId="0" applyBorder="1"/>
    <xf numFmtId="0" fontId="0" fillId="14" borderId="21" xfId="0" applyFill="1" applyBorder="1"/>
    <xf numFmtId="0" fontId="0" fillId="0" borderId="22" xfId="0" applyBorder="1"/>
    <xf numFmtId="0" fontId="0" fillId="0" borderId="23" xfId="0" applyBorder="1"/>
    <xf numFmtId="0" fontId="0" fillId="13" borderId="19" xfId="0" applyFill="1" applyBorder="1" applyAlignment="1">
      <alignment horizontal="center"/>
    </xf>
    <xf numFmtId="2" fontId="0" fillId="0" borderId="22" xfId="0" applyNumberFormat="1" applyBorder="1"/>
    <xf numFmtId="2" fontId="0" fillId="0" borderId="20" xfId="0" applyNumberFormat="1" applyBorder="1"/>
    <xf numFmtId="2" fontId="0" fillId="0" borderId="23" xfId="0" applyNumberFormat="1" applyBorder="1"/>
    <xf numFmtId="2" fontId="1" fillId="0" borderId="1" xfId="0" applyNumberFormat="1" applyFont="1" applyBorder="1"/>
    <xf numFmtId="0" fontId="0" fillId="9" borderId="21" xfId="0" applyFill="1" applyBorder="1"/>
    <xf numFmtId="2" fontId="7" fillId="0" borderId="23" xfId="0" applyNumberFormat="1" applyFont="1" applyBorder="1"/>
    <xf numFmtId="0" fontId="0" fillId="0" borderId="17" xfId="0" applyBorder="1"/>
    <xf numFmtId="0" fontId="0" fillId="15" borderId="1" xfId="0" applyFill="1" applyBorder="1" applyAlignment="1">
      <alignment horizontal="center"/>
    </xf>
    <xf numFmtId="2" fontId="7" fillId="0" borderId="1" xfId="0" applyNumberFormat="1" applyFont="1" applyBorder="1"/>
    <xf numFmtId="16" fontId="0" fillId="13" borderId="20" xfId="0" applyNumberFormat="1" applyFill="1" applyBorder="1" applyAlignment="1">
      <alignment horizontal="center"/>
    </xf>
    <xf numFmtId="2" fontId="4" fillId="0" borderId="23" xfId="0" applyNumberFormat="1" applyFont="1" applyBorder="1"/>
    <xf numFmtId="2" fontId="5" fillId="0" borderId="23" xfId="0" applyNumberFormat="1" applyFont="1" applyBorder="1"/>
    <xf numFmtId="2" fontId="0" fillId="0" borderId="20" xfId="0" applyNumberFormat="1" applyBorder="1" applyAlignment="1">
      <alignment horizontal="center"/>
    </xf>
    <xf numFmtId="2" fontId="0" fillId="0" borderId="20" xfId="0" applyNumberFormat="1" applyBorder="1" applyAlignment="1">
      <alignment horizontal="right"/>
    </xf>
    <xf numFmtId="2" fontId="5" fillId="0" borderId="20" xfId="0" applyNumberFormat="1" applyFont="1" applyBorder="1"/>
    <xf numFmtId="0" fontId="0" fillId="16" borderId="19" xfId="0" applyFill="1" applyBorder="1" applyAlignment="1">
      <alignment horizontal="center"/>
    </xf>
    <xf numFmtId="16" fontId="0" fillId="16" borderId="20" xfId="0" applyNumberFormat="1" applyFill="1" applyBorder="1" applyAlignment="1">
      <alignment horizontal="center"/>
    </xf>
    <xf numFmtId="0" fontId="0" fillId="17" borderId="19" xfId="0" applyFill="1" applyBorder="1"/>
    <xf numFmtId="0" fontId="0" fillId="17" borderId="21" xfId="0" applyFill="1" applyBorder="1"/>
    <xf numFmtId="2" fontId="5" fillId="0" borderId="22" xfId="0" applyNumberFormat="1" applyFont="1" applyBorder="1"/>
    <xf numFmtId="0" fontId="8" fillId="0" borderId="19" xfId="0" applyFont="1" applyBorder="1" applyAlignment="1">
      <alignment horizontal="center"/>
    </xf>
    <xf numFmtId="16" fontId="8" fillId="0" borderId="19" xfId="0" applyNumberFormat="1" applyFont="1" applyBorder="1" applyAlignment="1">
      <alignment horizontal="center"/>
    </xf>
    <xf numFmtId="16" fontId="0" fillId="16" borderId="27" xfId="0" applyNumberFormat="1" applyFill="1" applyBorder="1" applyAlignment="1">
      <alignment horizontal="center"/>
    </xf>
    <xf numFmtId="0" fontId="0" fillId="0" borderId="27" xfId="0" applyBorder="1"/>
    <xf numFmtId="16" fontId="0" fillId="16" borderId="1" xfId="0" applyNumberFormat="1" applyFill="1" applyBorder="1" applyAlignment="1">
      <alignment horizontal="center"/>
    </xf>
    <xf numFmtId="0" fontId="5" fillId="0" borderId="1" xfId="0" applyFont="1" applyBorder="1"/>
    <xf numFmtId="0" fontId="5" fillId="0" borderId="20" xfId="0" applyFont="1" applyBorder="1"/>
    <xf numFmtId="2" fontId="1" fillId="0" borderId="20" xfId="0" applyNumberFormat="1" applyFont="1" applyBorder="1" applyAlignment="1">
      <alignment horizontal="right"/>
    </xf>
    <xf numFmtId="2" fontId="7" fillId="0" borderId="20" xfId="0" applyNumberFormat="1" applyFont="1" applyBorder="1"/>
    <xf numFmtId="0" fontId="0" fillId="15" borderId="19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16" fontId="0" fillId="0" borderId="17" xfId="0" applyNumberFormat="1" applyBorder="1"/>
    <xf numFmtId="0" fontId="0" fillId="10" borderId="19" xfId="0" applyFill="1" applyBorder="1"/>
    <xf numFmtId="2" fontId="9" fillId="0" borderId="20" xfId="0" applyNumberFormat="1" applyFont="1" applyBorder="1" applyAlignment="1">
      <alignment horizontal="right"/>
    </xf>
    <xf numFmtId="2" fontId="5" fillId="0" borderId="20" xfId="0" applyNumberFormat="1" applyFont="1" applyBorder="1" applyAlignment="1">
      <alignment horizontal="center"/>
    </xf>
    <xf numFmtId="0" fontId="0" fillId="17" borderId="28" xfId="0" applyFill="1" applyBorder="1"/>
    <xf numFmtId="165" fontId="0" fillId="0" borderId="1" xfId="0" applyNumberFormat="1" applyBorder="1"/>
    <xf numFmtId="165" fontId="1" fillId="0" borderId="20" xfId="0" applyNumberFormat="1" applyFont="1" applyBorder="1" applyAlignment="1">
      <alignment horizontal="right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1" fillId="12" borderId="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ia%20Soria%20Gonz&#225;lez\Desktop\excel%20metricas\M&#233;tricas%20Error%20-%20Chile%20-%20DEF.xlsx" TargetMode="External"/><Relationship Id="rId1" Type="http://schemas.openxmlformats.org/officeDocument/2006/relationships/externalLinkPath" Target="M&#233;tricas%20Error%20-%20Chile%20-%20D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- 1"/>
      <sheetName val="Resumen - 2"/>
      <sheetName val="Resumen - 3"/>
      <sheetName val="Ronda 2 (completa)"/>
      <sheetName val="Ronda 1"/>
      <sheetName val="Ronda 2"/>
      <sheetName val="Ronda 2.2 y 2.3"/>
      <sheetName val="Evaluación Estimadores"/>
      <sheetName val="Ronda 2.2 (valores sobre1)"/>
      <sheetName val="Ronda 2 (valores sobre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B2">
            <v>0.48</v>
          </cell>
          <cell r="C2">
            <v>0.38</v>
          </cell>
          <cell r="D2">
            <v>0.12</v>
          </cell>
        </row>
        <row r="3">
          <cell r="B3">
            <v>0.38599220000000001</v>
          </cell>
          <cell r="C3">
            <v>0.43662649999999997</v>
          </cell>
          <cell r="D3">
            <v>0.17738129999999999</v>
          </cell>
        </row>
        <row r="4">
          <cell r="B4">
            <v>0.40334700000000001</v>
          </cell>
          <cell r="C4">
            <v>0.3977115</v>
          </cell>
          <cell r="D4">
            <v>0.19894149999999999</v>
          </cell>
        </row>
        <row r="5">
          <cell r="B5">
            <v>0.4496135</v>
          </cell>
          <cell r="C5">
            <v>0.38676569999999999</v>
          </cell>
          <cell r="D5">
            <v>0.16362070000000001</v>
          </cell>
        </row>
        <row r="6">
          <cell r="B6">
            <v>0.45816829999999997</v>
          </cell>
          <cell r="C6">
            <v>0.37944290000000003</v>
          </cell>
          <cell r="D6">
            <v>0.1623887</v>
          </cell>
        </row>
        <row r="7">
          <cell r="B7">
            <v>0.3333333</v>
          </cell>
          <cell r="C7">
            <v>0.66666669999999995</v>
          </cell>
          <cell r="D7">
            <v>0</v>
          </cell>
        </row>
        <row r="8">
          <cell r="B8">
            <v>0.33333332999999998</v>
          </cell>
          <cell r="C8">
            <v>0.5675</v>
          </cell>
          <cell r="D8">
            <v>9.9166669999999998E-2</v>
          </cell>
        </row>
        <row r="9">
          <cell r="B9">
            <v>0.4724141</v>
          </cell>
          <cell r="C9">
            <v>0.34703800000000001</v>
          </cell>
          <cell r="D9">
            <v>0.18054780000000001</v>
          </cell>
        </row>
        <row r="10">
          <cell r="B10">
            <v>0.45717770000000002</v>
          </cell>
          <cell r="C10">
            <v>0.40611370000000002</v>
          </cell>
          <cell r="D10">
            <v>0.13670850000000001</v>
          </cell>
        </row>
        <row r="11">
          <cell r="B11">
            <v>0.5738895839141358</v>
          </cell>
          <cell r="C11">
            <v>0.41285316696986657</v>
          </cell>
          <cell r="D11">
            <v>1.3257249115997643E-2</v>
          </cell>
        </row>
        <row r="15">
          <cell r="B15">
            <v>0.3851772</v>
          </cell>
          <cell r="C15">
            <v>0.43637219999999999</v>
          </cell>
          <cell r="D15">
            <v>0.17845059999999999</v>
          </cell>
        </row>
        <row r="16">
          <cell r="B16">
            <v>0.40891450000000001</v>
          </cell>
          <cell r="C16">
            <v>0.39473649999999999</v>
          </cell>
          <cell r="D16">
            <v>0.196349</v>
          </cell>
        </row>
        <row r="17">
          <cell r="B17">
            <v>0.45006200000000002</v>
          </cell>
          <cell r="C17">
            <v>0.38651799999999997</v>
          </cell>
          <cell r="D17">
            <v>0.16342000000000001</v>
          </cell>
        </row>
        <row r="18">
          <cell r="B18">
            <v>0.45862740000000002</v>
          </cell>
          <cell r="C18">
            <v>0.37988490000000003</v>
          </cell>
          <cell r="D18">
            <v>0.16148770000000001</v>
          </cell>
        </row>
        <row r="19">
          <cell r="B19">
            <v>0.3333333</v>
          </cell>
          <cell r="C19">
            <v>0.66666669999999995</v>
          </cell>
          <cell r="D19">
            <v>0</v>
          </cell>
        </row>
        <row r="20">
          <cell r="B20">
            <v>0.3333333</v>
          </cell>
          <cell r="C20">
            <v>0.54156749999999998</v>
          </cell>
          <cell r="D20">
            <v>0.12509909999999999</v>
          </cell>
        </row>
        <row r="21">
          <cell r="B21">
            <v>0.4750337</v>
          </cell>
          <cell r="C21">
            <v>0.34624149999999998</v>
          </cell>
          <cell r="D21">
            <v>0.17872479999999999</v>
          </cell>
        </row>
        <row r="22">
          <cell r="B22">
            <v>0.4668928</v>
          </cell>
          <cell r="C22">
            <v>0.39878479999999999</v>
          </cell>
          <cell r="D22">
            <v>0.13432240000000001</v>
          </cell>
        </row>
        <row r="23">
          <cell r="B23">
            <v>0.5738895839141358</v>
          </cell>
          <cell r="C23">
            <v>0.41285316696986657</v>
          </cell>
          <cell r="D23">
            <v>1.3257249115997643E-2</v>
          </cell>
        </row>
        <row r="27">
          <cell r="B27">
            <v>0.38425930000000003</v>
          </cell>
          <cell r="C27">
            <v>0.43353170000000002</v>
          </cell>
          <cell r="D27">
            <v>0.18220900000000001</v>
          </cell>
        </row>
        <row r="28">
          <cell r="B28">
            <v>0.40847280000000002</v>
          </cell>
          <cell r="C28">
            <v>0.39330540000000003</v>
          </cell>
          <cell r="D28">
            <v>0.1982218</v>
          </cell>
        </row>
        <row r="29">
          <cell r="B29">
            <v>0.45119559999999997</v>
          </cell>
          <cell r="C29">
            <v>0.38533909999999999</v>
          </cell>
          <cell r="D29">
            <v>0.16346530000000001</v>
          </cell>
        </row>
        <row r="30">
          <cell r="B30">
            <v>0.46001880000000001</v>
          </cell>
          <cell r="C30">
            <v>0.37974289999999999</v>
          </cell>
          <cell r="D30">
            <v>0.1602383</v>
          </cell>
        </row>
        <row r="31">
          <cell r="B31">
            <v>0.3333333</v>
          </cell>
          <cell r="C31">
            <v>0.66666669999999995</v>
          </cell>
          <cell r="D31">
            <v>0</v>
          </cell>
        </row>
        <row r="32">
          <cell r="B32">
            <v>0.3333333</v>
          </cell>
          <cell r="C32">
            <v>0.54231969999999996</v>
          </cell>
          <cell r="D32">
            <v>0.1243469</v>
          </cell>
        </row>
        <row r="33">
          <cell r="B33">
            <v>0.47536790000000001</v>
          </cell>
          <cell r="C33">
            <v>0.34612920000000003</v>
          </cell>
          <cell r="D33">
            <v>0.17850289999999999</v>
          </cell>
        </row>
        <row r="34">
          <cell r="B34">
            <v>0.46438360000000001</v>
          </cell>
          <cell r="C34">
            <v>0.4</v>
          </cell>
          <cell r="D34">
            <v>0.1356164</v>
          </cell>
        </row>
        <row r="35">
          <cell r="B35">
            <v>0.5738895839141358</v>
          </cell>
          <cell r="C35">
            <v>0.41285316696986657</v>
          </cell>
          <cell r="D35">
            <v>1.3257249115997643E-2</v>
          </cell>
        </row>
        <row r="39">
          <cell r="B39">
            <v>0.38555909999999999</v>
          </cell>
          <cell r="C39">
            <v>0.43661179999999999</v>
          </cell>
          <cell r="D39">
            <v>0.17782909999999999</v>
          </cell>
        </row>
        <row r="40">
          <cell r="B40">
            <v>0.41000120000000001</v>
          </cell>
          <cell r="C40">
            <v>0.39422889999999999</v>
          </cell>
          <cell r="D40">
            <v>0.1957699</v>
          </cell>
        </row>
        <row r="41">
          <cell r="B41">
            <v>0.44998129999999997</v>
          </cell>
          <cell r="C41">
            <v>0.38649869999999997</v>
          </cell>
          <cell r="D41">
            <v>0.16352</v>
          </cell>
        </row>
        <row r="42">
          <cell r="B42">
            <v>0.45857419999999999</v>
          </cell>
          <cell r="C42">
            <v>0.37997409999999998</v>
          </cell>
          <cell r="D42">
            <v>0.1614517</v>
          </cell>
        </row>
        <row r="43">
          <cell r="B43">
            <v>0.3333333</v>
          </cell>
          <cell r="C43">
            <v>0.66666669999999995</v>
          </cell>
          <cell r="D43">
            <v>0</v>
          </cell>
        </row>
        <row r="44">
          <cell r="B44">
            <v>0.3333333</v>
          </cell>
          <cell r="C44">
            <v>0.54145209999999999</v>
          </cell>
          <cell r="D44">
            <v>0.12521460000000001</v>
          </cell>
        </row>
        <row r="45">
          <cell r="B45">
            <v>0.47606330000000002</v>
          </cell>
          <cell r="C45">
            <v>0.3461302</v>
          </cell>
          <cell r="D45">
            <v>0.17780650000000001</v>
          </cell>
        </row>
        <row r="46">
          <cell r="B46">
            <v>0.46769189999999999</v>
          </cell>
          <cell r="C46">
            <v>0.3980572</v>
          </cell>
          <cell r="D46">
            <v>0.13425090000000001</v>
          </cell>
        </row>
        <row r="47">
          <cell r="B47">
            <v>0.5738895839141358</v>
          </cell>
          <cell r="C47">
            <v>0.41285316696986657</v>
          </cell>
          <cell r="D47">
            <v>1.3257249115997643E-2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DB38-F0CC-4DB3-8A99-A521A94C07E2}">
  <dimension ref="A1:AF31"/>
  <sheetViews>
    <sheetView tabSelected="1" zoomScale="70" zoomScaleNormal="70" workbookViewId="0">
      <selection activeCell="F36" sqref="F36"/>
    </sheetView>
  </sheetViews>
  <sheetFormatPr baseColWidth="10" defaultRowHeight="15" x14ac:dyDescent="0.25"/>
  <cols>
    <col min="1" max="1" width="23.28515625" customWidth="1"/>
    <col min="2" max="4" width="18.42578125" customWidth="1"/>
    <col min="6" max="6" width="26.140625" customWidth="1"/>
    <col min="11" max="11" width="25.42578125" customWidth="1"/>
    <col min="15" max="15" width="21.5703125" customWidth="1"/>
    <col min="27" max="27" width="21.140625" customWidth="1"/>
  </cols>
  <sheetData>
    <row r="1" spans="1:32" x14ac:dyDescent="0.25">
      <c r="A1" s="130" t="s">
        <v>51</v>
      </c>
      <c r="B1" s="131"/>
      <c r="C1" s="132"/>
      <c r="F1" s="130" t="s">
        <v>56</v>
      </c>
      <c r="G1" s="131"/>
      <c r="H1" s="132"/>
      <c r="K1" s="130" t="s">
        <v>56</v>
      </c>
      <c r="L1" s="131"/>
      <c r="M1" s="132"/>
      <c r="O1" s="130" t="s">
        <v>63</v>
      </c>
      <c r="P1" s="131"/>
      <c r="Q1" s="131"/>
      <c r="R1" s="131"/>
      <c r="S1" s="131"/>
      <c r="T1" s="131"/>
      <c r="U1" s="131"/>
      <c r="V1" s="131"/>
      <c r="W1" s="131"/>
      <c r="X1" s="132"/>
      <c r="AA1" s="133" t="s">
        <v>71</v>
      </c>
      <c r="AB1" s="134"/>
      <c r="AC1" s="134"/>
      <c r="AD1" s="134"/>
      <c r="AE1" s="134"/>
      <c r="AF1" s="134"/>
    </row>
    <row r="2" spans="1:32" x14ac:dyDescent="0.25">
      <c r="A2" s="87" t="s">
        <v>50</v>
      </c>
      <c r="B2" s="97">
        <v>46334</v>
      </c>
      <c r="C2" s="97">
        <v>46347</v>
      </c>
      <c r="F2" s="103" t="s">
        <v>50</v>
      </c>
      <c r="G2" s="104">
        <v>46334</v>
      </c>
      <c r="H2" s="104">
        <v>46347</v>
      </c>
      <c r="K2" s="103" t="s">
        <v>50</v>
      </c>
      <c r="L2" s="104" t="s">
        <v>60</v>
      </c>
      <c r="M2" s="104" t="s">
        <v>61</v>
      </c>
      <c r="O2" s="117" t="s">
        <v>59</v>
      </c>
      <c r="P2" s="95" t="s">
        <v>0</v>
      </c>
      <c r="Q2" s="95" t="s">
        <v>1</v>
      </c>
      <c r="R2" s="95" t="s">
        <v>2</v>
      </c>
      <c r="S2" s="95" t="s">
        <v>3</v>
      </c>
      <c r="T2" s="95" t="s">
        <v>4</v>
      </c>
      <c r="U2" s="95" t="s">
        <v>5</v>
      </c>
      <c r="V2" s="95" t="s">
        <v>6</v>
      </c>
      <c r="W2" s="95" t="s">
        <v>7</v>
      </c>
      <c r="X2" s="118" t="s">
        <v>8</v>
      </c>
      <c r="AA2" s="87" t="s">
        <v>50</v>
      </c>
      <c r="AB2" s="97">
        <v>46334</v>
      </c>
      <c r="AC2" s="97">
        <v>46347</v>
      </c>
      <c r="AD2" s="97">
        <v>46350</v>
      </c>
      <c r="AE2" s="97">
        <v>46360</v>
      </c>
      <c r="AF2" s="97">
        <v>46368</v>
      </c>
    </row>
    <row r="3" spans="1:32" x14ac:dyDescent="0.25">
      <c r="A3" s="82" t="s">
        <v>52</v>
      </c>
      <c r="B3" s="89">
        <f>AVERAGE('Round 1'!N45:N46)</f>
        <v>8.6814733629481236</v>
      </c>
      <c r="C3" s="100" t="s">
        <v>49</v>
      </c>
      <c r="F3" s="108" t="s">
        <v>60</v>
      </c>
      <c r="G3" s="33"/>
      <c r="H3" s="83"/>
      <c r="K3" s="109">
        <v>46334</v>
      </c>
      <c r="L3" s="33"/>
      <c r="M3" s="83"/>
      <c r="O3" s="119">
        <v>46334</v>
      </c>
      <c r="X3" s="81"/>
      <c r="AA3" s="82" t="s">
        <v>52</v>
      </c>
      <c r="AB3" s="89" t="e">
        <f>AVERAGE('Round 1'!#REF!)</f>
        <v>#REF!</v>
      </c>
      <c r="AC3" s="100" t="s">
        <v>49</v>
      </c>
      <c r="AD3" s="89">
        <f>AVERAGE('Round 2 - PIMLE'!L3:L4)</f>
        <v>6.5963037648821432</v>
      </c>
      <c r="AE3" s="101">
        <f>AVERAGE('Round 2 - PIMLE'!L12:L13)</f>
        <v>7.3600805639826028</v>
      </c>
      <c r="AF3" s="100" t="s">
        <v>49</v>
      </c>
    </row>
    <row r="4" spans="1:32" x14ac:dyDescent="0.25">
      <c r="A4" s="82" t="s">
        <v>53</v>
      </c>
      <c r="B4" s="89">
        <f>AVERAGE('Round 1'!N49:N50)</f>
        <v>10.481316706190109</v>
      </c>
      <c r="C4" s="100" t="s">
        <v>49</v>
      </c>
      <c r="F4" s="105" t="s">
        <v>52</v>
      </c>
      <c r="G4" s="75">
        <f>'Round 1'!N45</f>
        <v>8.3113109007477828</v>
      </c>
      <c r="H4" s="100" t="s">
        <v>49</v>
      </c>
      <c r="K4" s="105" t="s">
        <v>52</v>
      </c>
      <c r="L4" s="91">
        <v>8.3113109007477828</v>
      </c>
      <c r="M4" s="101">
        <v>9.0516358251484643</v>
      </c>
      <c r="O4" s="120" t="s">
        <v>26</v>
      </c>
      <c r="P4" s="33">
        <f>'Round 1'!B44</f>
        <v>6.9</v>
      </c>
      <c r="Q4" s="33">
        <f>'Round 1'!C44</f>
        <v>22.5</v>
      </c>
      <c r="R4" s="33">
        <f>'Round 1'!D44</f>
        <v>2.4</v>
      </c>
      <c r="S4" s="33">
        <f>'Round 1'!E44</f>
        <v>13.6</v>
      </c>
      <c r="T4" s="33">
        <f>'Round 1'!F44</f>
        <v>28</v>
      </c>
      <c r="U4" s="33">
        <f>'Round 1'!G44</f>
        <v>2.1</v>
      </c>
      <c r="V4" s="33">
        <f>'Round 1'!H44</f>
        <v>13.3</v>
      </c>
      <c r="W4" s="33">
        <f>'Round 1'!I44</f>
        <v>2.8</v>
      </c>
      <c r="X4" s="83">
        <f>'Round 1'!J44</f>
        <v>8.4</v>
      </c>
      <c r="AA4" s="82" t="s">
        <v>53</v>
      </c>
      <c r="AB4" s="89" t="e">
        <f>AVERAGE('Round 1'!#REF!)</f>
        <v>#REF!</v>
      </c>
      <c r="AC4" s="100" t="s">
        <v>49</v>
      </c>
      <c r="AD4" s="89">
        <f>AVERAGE('Round 2 - PIMLE'!L7:L8)</f>
        <v>16.218536829911347</v>
      </c>
      <c r="AE4" s="101">
        <f>AVERAGE('Round 2 - PIMLE'!L16:L17)</f>
        <v>16.247302957740505</v>
      </c>
      <c r="AF4" s="100" t="s">
        <v>49</v>
      </c>
    </row>
    <row r="5" spans="1:32" x14ac:dyDescent="0.25">
      <c r="A5" s="82" t="s">
        <v>54</v>
      </c>
      <c r="B5" s="89">
        <f>AVERAGE('Round 1'!N47:N48)</f>
        <v>9.4918257172920022</v>
      </c>
      <c r="C5" s="100" t="s">
        <v>49</v>
      </c>
      <c r="F5" s="105" t="s">
        <v>53</v>
      </c>
      <c r="G5" s="75">
        <f>'Round 1'!N49</f>
        <v>10.481640032827771</v>
      </c>
      <c r="H5" s="100" t="s">
        <v>49</v>
      </c>
      <c r="K5" s="105" t="s">
        <v>53</v>
      </c>
      <c r="L5" s="124">
        <v>10.481640032827771</v>
      </c>
      <c r="M5" s="125">
        <v>10.480993379552446</v>
      </c>
      <c r="O5" s="120" t="s">
        <v>64</v>
      </c>
      <c r="P5" s="33">
        <f>'Round 1'!B45</f>
        <v>15.1</v>
      </c>
      <c r="Q5" s="33">
        <f>'Round 1'!C45</f>
        <v>12.7</v>
      </c>
      <c r="R5" s="33">
        <f>'Round 1'!D45</f>
        <v>14.1</v>
      </c>
      <c r="S5" s="33">
        <f>'Round 1'!E45</f>
        <v>2.8</v>
      </c>
      <c r="T5" s="33">
        <f>'Round 1'!F45</f>
        <v>21.7</v>
      </c>
      <c r="U5" s="33">
        <f>'Round 1'!G45</f>
        <v>1.8</v>
      </c>
      <c r="V5" s="33">
        <f>'Round 1'!H45</f>
        <v>16.2</v>
      </c>
      <c r="W5" s="33">
        <f>'Round 1'!I45</f>
        <v>6.7</v>
      </c>
      <c r="X5" s="83">
        <f>'Round 1'!J45</f>
        <v>8.8000000000000007</v>
      </c>
      <c r="AA5" s="82" t="s">
        <v>54</v>
      </c>
      <c r="AB5" s="89" t="e">
        <f>AVERAGE('Round 1'!#REF!)</f>
        <v>#REF!</v>
      </c>
      <c r="AC5" s="100" t="s">
        <v>49</v>
      </c>
      <c r="AD5" s="89">
        <f>AVERAGE('Round 2 - PIMLE'!L5:L6)</f>
        <v>2.8846840373294547</v>
      </c>
      <c r="AE5" s="101">
        <f>AVERAGE('Round 2 - PIMLE'!L14:L15)</f>
        <v>2.9912627903632467</v>
      </c>
      <c r="AF5" s="100" t="s">
        <v>49</v>
      </c>
    </row>
    <row r="6" spans="1:32" ht="15.75" thickBot="1" x14ac:dyDescent="0.3">
      <c r="A6" s="84" t="s">
        <v>55</v>
      </c>
      <c r="B6" s="93">
        <f>AVERAGE('Round 1'!N51:N52)</f>
        <v>8.1073623698168902</v>
      </c>
      <c r="C6" s="99">
        <f>AVERAGE('Round 1'!N53:N54)</f>
        <v>8.1411294119303381</v>
      </c>
      <c r="F6" s="105" t="s">
        <v>54</v>
      </c>
      <c r="G6" s="75">
        <f>'Round 1'!N47</f>
        <v>9.4093629492708537</v>
      </c>
      <c r="H6" s="100" t="s">
        <v>49</v>
      </c>
      <c r="K6" s="105" t="s">
        <v>54</v>
      </c>
      <c r="L6" s="91">
        <v>9.4093629492708537</v>
      </c>
      <c r="M6" s="101">
        <v>9.5742884853131507</v>
      </c>
      <c r="O6" s="120" t="s">
        <v>65</v>
      </c>
      <c r="P6" s="33">
        <f>'Round 1'!B51</f>
        <v>20.2</v>
      </c>
      <c r="Q6" s="33">
        <f>'Round 1'!C51</f>
        <v>11.8</v>
      </c>
      <c r="R6" s="33">
        <f>'Round 1'!D51</f>
        <v>7.5</v>
      </c>
      <c r="S6" s="33">
        <f>'Round 1'!E51</f>
        <v>0.9</v>
      </c>
      <c r="T6" s="33">
        <f>'Round 1'!F51</f>
        <v>26.8</v>
      </c>
      <c r="U6" s="33">
        <f>'Round 1'!G51</f>
        <v>0.1</v>
      </c>
      <c r="V6" s="33">
        <f>'Round 1'!H51</f>
        <v>19.8</v>
      </c>
      <c r="W6" s="33">
        <f>'Round 1'!I51</f>
        <v>6</v>
      </c>
      <c r="X6" s="83">
        <f>'Round 1'!J51</f>
        <v>6.9</v>
      </c>
      <c r="AA6" s="84" t="s">
        <v>55</v>
      </c>
      <c r="AB6" s="98" t="e">
        <f>AVERAGE('Round 1'!#REF!)</f>
        <v>#REF!</v>
      </c>
      <c r="AC6" s="99" t="e">
        <f>AVERAGE('Round 1'!#REF!)</f>
        <v>#REF!</v>
      </c>
      <c r="AD6" s="98">
        <f>AVERAGE('Round 2 - PIMLE'!L9:L10)</f>
        <v>2.6905332148271603</v>
      </c>
      <c r="AE6" s="93">
        <f>AVERAGE('Round 2 - PIMLE'!L18:L19)</f>
        <v>2.3059115467650111</v>
      </c>
      <c r="AF6" s="99">
        <f>AVERAGE('Round 2 - PIMLE'!L21:L22)</f>
        <v>3.0570823004524903</v>
      </c>
    </row>
    <row r="7" spans="1:32" x14ac:dyDescent="0.25">
      <c r="F7" s="105" t="s">
        <v>55</v>
      </c>
      <c r="G7" s="37">
        <f>'Round 1'!N51</f>
        <v>7.8565683772666715</v>
      </c>
      <c r="H7" s="102">
        <f>'Round 1'!N53</f>
        <v>9.8857754149867034</v>
      </c>
      <c r="K7" s="105" t="s">
        <v>55</v>
      </c>
      <c r="L7" s="96">
        <v>7.8565683772666715</v>
      </c>
      <c r="M7" s="102">
        <v>8.3581563623671098</v>
      </c>
      <c r="O7" s="119">
        <v>46347</v>
      </c>
      <c r="X7" s="81"/>
    </row>
    <row r="8" spans="1:32" x14ac:dyDescent="0.25">
      <c r="F8" s="108" t="s">
        <v>61</v>
      </c>
      <c r="G8" s="33"/>
      <c r="H8" s="83"/>
      <c r="K8" s="109">
        <v>46347</v>
      </c>
      <c r="L8" s="33"/>
      <c r="M8" s="83"/>
      <c r="O8" s="120" t="s">
        <v>66</v>
      </c>
      <c r="P8" s="33">
        <f>'Round 1'!B54</f>
        <v>16.3</v>
      </c>
      <c r="Q8" s="33">
        <f>'Round 1'!C54</f>
        <v>18.600000000000001</v>
      </c>
      <c r="R8" s="33">
        <f>'Round 1'!D54</f>
        <v>8.3000000000000007</v>
      </c>
      <c r="S8" s="33">
        <f>'Round 1'!E54</f>
        <v>1.9</v>
      </c>
      <c r="T8" s="33">
        <f>'Round 1'!F54</f>
        <v>24.3</v>
      </c>
      <c r="U8" s="33">
        <f>'Round 1'!G54</f>
        <v>2.2000000000000002</v>
      </c>
      <c r="V8" s="33">
        <f>'Round 1'!H54</f>
        <v>17.2</v>
      </c>
      <c r="W8" s="33">
        <f>'Round 1'!I54</f>
        <v>1.8</v>
      </c>
      <c r="X8" s="83">
        <f>'Round 1'!J54</f>
        <v>9.3000000000000007</v>
      </c>
    </row>
    <row r="9" spans="1:32" ht="15.75" thickBot="1" x14ac:dyDescent="0.3">
      <c r="F9" s="105" t="s">
        <v>52</v>
      </c>
      <c r="G9" s="75">
        <f>'Round 1'!N46</f>
        <v>9.0516358251484643</v>
      </c>
      <c r="H9" s="100" t="s">
        <v>49</v>
      </c>
      <c r="K9" s="106" t="s">
        <v>55</v>
      </c>
      <c r="L9" s="107">
        <v>9.8857754149867034</v>
      </c>
      <c r="M9" s="93">
        <v>6.3964834088739728</v>
      </c>
      <c r="O9" s="94"/>
      <c r="X9" s="81"/>
    </row>
    <row r="10" spans="1:32" ht="15.75" thickBot="1" x14ac:dyDescent="0.3">
      <c r="F10" s="105" t="s">
        <v>53</v>
      </c>
      <c r="G10" s="75">
        <f>'Round 1'!N50</f>
        <v>10.480993379552446</v>
      </c>
      <c r="H10" s="100" t="s">
        <v>49</v>
      </c>
      <c r="K10" s="123" t="s">
        <v>13</v>
      </c>
      <c r="O10" s="92" t="s">
        <v>58</v>
      </c>
      <c r="P10" s="85">
        <f>'Round 1'!B55</f>
        <v>19.71</v>
      </c>
      <c r="Q10" s="85">
        <f>'Round 1'!C55</f>
        <v>26.85</v>
      </c>
      <c r="R10" s="85">
        <f>'Round 1'!D55</f>
        <v>1.2</v>
      </c>
      <c r="S10" s="85">
        <f>'Round 1'!E55</f>
        <v>13.94</v>
      </c>
      <c r="T10" s="85">
        <f>'Round 1'!F55</f>
        <v>23.92</v>
      </c>
      <c r="U10" s="85">
        <f>'Round 1'!G55</f>
        <v>0.66</v>
      </c>
      <c r="V10" s="85">
        <f>'Round 1'!H55</f>
        <v>12.46</v>
      </c>
      <c r="W10" s="85">
        <f>'Round 1'!I55</f>
        <v>1.26</v>
      </c>
      <c r="X10" s="86">
        <f>'Round 1'!J55</f>
        <v>1.06</v>
      </c>
    </row>
    <row r="11" spans="1:32" x14ac:dyDescent="0.25">
      <c r="F11" s="105" t="s">
        <v>54</v>
      </c>
      <c r="G11" s="75">
        <f>'Round 1'!N48</f>
        <v>9.5742884853131507</v>
      </c>
      <c r="H11" s="100" t="s">
        <v>49</v>
      </c>
    </row>
    <row r="12" spans="1:32" ht="15.75" thickBot="1" x14ac:dyDescent="0.3">
      <c r="F12" s="106" t="s">
        <v>55</v>
      </c>
      <c r="G12" s="107">
        <f>'Round 1'!N52</f>
        <v>8.3581563623671098</v>
      </c>
      <c r="H12" s="99">
        <f>'Round 1'!N54</f>
        <v>6.3964834088739728</v>
      </c>
    </row>
    <row r="13" spans="1:32" ht="15.75" thickBot="1" x14ac:dyDescent="0.3">
      <c r="O13" s="130" t="s">
        <v>67</v>
      </c>
      <c r="P13" s="131"/>
      <c r="Q13" s="131"/>
      <c r="R13" s="132"/>
    </row>
    <row r="14" spans="1:32" x14ac:dyDescent="0.25">
      <c r="A14" s="130" t="s">
        <v>57</v>
      </c>
      <c r="B14" s="131"/>
      <c r="C14" s="131"/>
      <c r="D14" s="132"/>
      <c r="F14" s="130" t="s">
        <v>62</v>
      </c>
      <c r="G14" s="131"/>
      <c r="H14" s="131"/>
      <c r="I14" s="132"/>
      <c r="K14" s="130" t="s">
        <v>62</v>
      </c>
      <c r="L14" s="131"/>
      <c r="M14" s="132"/>
      <c r="O14" s="117" t="s">
        <v>59</v>
      </c>
      <c r="P14" s="95" t="s">
        <v>1</v>
      </c>
      <c r="Q14" s="95" t="s">
        <v>4</v>
      </c>
      <c r="R14" s="118" t="s">
        <v>39</v>
      </c>
    </row>
    <row r="15" spans="1:32" x14ac:dyDescent="0.25">
      <c r="A15" s="87" t="s">
        <v>50</v>
      </c>
      <c r="B15" s="97">
        <v>46350</v>
      </c>
      <c r="C15" s="97">
        <v>46360</v>
      </c>
      <c r="D15" s="97">
        <v>46368</v>
      </c>
      <c r="F15" s="103" t="s">
        <v>50</v>
      </c>
      <c r="G15" s="112">
        <v>46350</v>
      </c>
      <c r="H15" s="112">
        <v>46360</v>
      </c>
      <c r="I15" s="110">
        <v>46368</v>
      </c>
      <c r="K15" s="103" t="s">
        <v>50</v>
      </c>
      <c r="L15" s="104" t="s">
        <v>60</v>
      </c>
      <c r="M15" s="104" t="s">
        <v>61</v>
      </c>
      <c r="O15" s="119">
        <v>46350</v>
      </c>
      <c r="R15" s="81"/>
    </row>
    <row r="16" spans="1:32" x14ac:dyDescent="0.25">
      <c r="A16" s="82" t="s">
        <v>52</v>
      </c>
      <c r="B16" s="89">
        <f>AVERAGE('Round 2 - PIMLE'!H3:H4)</f>
        <v>14.353873147899762</v>
      </c>
      <c r="C16" s="101">
        <f>AVERAGE('Round 2 - PIMLE'!H12:H13)</f>
        <v>15.232268009096419</v>
      </c>
      <c r="D16" s="100" t="s">
        <v>49</v>
      </c>
      <c r="F16" s="108" t="s">
        <v>60</v>
      </c>
      <c r="G16" s="33"/>
      <c r="H16" s="33"/>
      <c r="I16" s="111"/>
      <c r="K16" s="109">
        <v>46350</v>
      </c>
      <c r="L16" s="33"/>
      <c r="M16" s="83"/>
      <c r="O16" s="120" t="s">
        <v>26</v>
      </c>
      <c r="P16" s="75">
        <f>'Round 2 - PIMLE'!B2</f>
        <v>48</v>
      </c>
      <c r="Q16" s="75">
        <f>'Round 2 - PIMLE'!C2</f>
        <v>38</v>
      </c>
      <c r="R16" s="89">
        <f>'Round 2 - PIMLE'!D2</f>
        <v>12</v>
      </c>
    </row>
    <row r="17" spans="1:18" x14ac:dyDescent="0.25">
      <c r="A17" s="82" t="s">
        <v>53</v>
      </c>
      <c r="B17" s="89">
        <f>AVERAGE('Round 2 - PIMLE'!H7:H8)</f>
        <v>18.613891197595741</v>
      </c>
      <c r="C17" s="101">
        <f>AVERAGE('Round 2 - PIMLE'!H16:H17)</f>
        <v>18.649893785281147</v>
      </c>
      <c r="D17" s="100" t="s">
        <v>49</v>
      </c>
      <c r="F17" s="105" t="s">
        <v>52</v>
      </c>
      <c r="G17" s="75">
        <f>'Round 2 - PIMLE'!H3</f>
        <v>14.504796668479411</v>
      </c>
      <c r="H17" s="75">
        <f>'Round 2 - PIMLE'!H12</f>
        <v>14.291339933304263</v>
      </c>
      <c r="I17" s="122" t="s">
        <v>49</v>
      </c>
      <c r="K17" s="105" t="s">
        <v>52</v>
      </c>
      <c r="L17" s="75">
        <v>14.504796668479411</v>
      </c>
      <c r="M17" s="115">
        <v>14.202949627320113</v>
      </c>
      <c r="O17" s="120" t="s">
        <v>68</v>
      </c>
      <c r="P17" s="75">
        <f>'Round 2 - PIMLE'!B6</f>
        <v>45.857419999999998</v>
      </c>
      <c r="Q17" s="75">
        <f>'Round 2 - PIMLE'!C6</f>
        <v>37.997409999999995</v>
      </c>
      <c r="R17" s="89">
        <f>'Round 2 - PIMLE'!D6</f>
        <v>16.14517</v>
      </c>
    </row>
    <row r="18" spans="1:18" x14ac:dyDescent="0.25">
      <c r="A18" s="82" t="s">
        <v>54</v>
      </c>
      <c r="B18" s="89">
        <f>AVERAGE('Round 2 - PIMLE'!H5:H6)</f>
        <v>11.176578430322216</v>
      </c>
      <c r="C18" s="101">
        <f>AVERAGE('Round 2 - PIMLE'!H14:H15)</f>
        <v>11.374697665470308</v>
      </c>
      <c r="D18" s="100" t="s">
        <v>49</v>
      </c>
      <c r="F18" s="105" t="s">
        <v>53</v>
      </c>
      <c r="G18" s="75">
        <f>'Round 2 - PIMLE'!H7</f>
        <v>20.204322139412035</v>
      </c>
      <c r="H18" s="75">
        <f>'Round 2 - PIMLE'!H16</f>
        <v>20.204322139412035</v>
      </c>
      <c r="I18" s="122" t="s">
        <v>49</v>
      </c>
      <c r="K18" s="105" t="s">
        <v>53</v>
      </c>
      <c r="L18" s="75">
        <v>20.204322139412035</v>
      </c>
      <c r="M18" s="115">
        <v>17.023460255779444</v>
      </c>
      <c r="O18" s="120" t="s">
        <v>69</v>
      </c>
      <c r="P18" s="75">
        <f>'Round 2 - PIMLE'!B10</f>
        <v>46.769190000000002</v>
      </c>
      <c r="Q18" s="75">
        <f>'Round 2 - PIMLE'!C10</f>
        <v>39.805720000000001</v>
      </c>
      <c r="R18" s="89">
        <f>'Round 2 - PIMLE'!D10</f>
        <v>13.425090000000001</v>
      </c>
    </row>
    <row r="19" spans="1:18" ht="15.75" thickBot="1" x14ac:dyDescent="0.3">
      <c r="A19" s="84" t="s">
        <v>55</v>
      </c>
      <c r="B19" s="98">
        <f>AVERAGE('Round 2 - PIMLE'!H9:H10)</f>
        <v>10.519169898734489</v>
      </c>
      <c r="C19" s="93">
        <f>AVERAGE('Round 2 - PIMLE'!H18:H19)</f>
        <v>10.500585483593596</v>
      </c>
      <c r="D19" s="99">
        <f>AVERAGE('Round 2 - PIMLE'!H21:H22)</f>
        <v>11.785174255895942</v>
      </c>
      <c r="F19" s="105" t="s">
        <v>54</v>
      </c>
      <c r="G19" s="75">
        <f>'Round 2 - PIMLE'!H5</f>
        <v>11.347057629629459</v>
      </c>
      <c r="H19" s="75">
        <f>'Round 2 - PIMLE'!H14</f>
        <v>11.172639797895837</v>
      </c>
      <c r="I19" s="122" t="s">
        <v>49</v>
      </c>
      <c r="K19" s="105" t="s">
        <v>54</v>
      </c>
      <c r="L19" s="75">
        <v>11.347057629629459</v>
      </c>
      <c r="M19" s="121">
        <v>11.006099231014971</v>
      </c>
      <c r="O19" s="119">
        <v>46360</v>
      </c>
      <c r="R19" s="81"/>
    </row>
    <row r="20" spans="1:18" x14ac:dyDescent="0.25">
      <c r="F20" s="105" t="s">
        <v>55</v>
      </c>
      <c r="G20" s="37">
        <f>'Round 2 - PIMLE'!H9</f>
        <v>11.704470956604199</v>
      </c>
      <c r="H20" s="37">
        <f>'Round 2 - PIMLE'!H18</f>
        <v>11.044848542234654</v>
      </c>
      <c r="I20" s="102">
        <f>'Round 2 - PIMLE'!H21</f>
        <v>14.466441743766566</v>
      </c>
      <c r="K20" s="105" t="s">
        <v>55</v>
      </c>
      <c r="L20" s="37">
        <v>11.704470956604199</v>
      </c>
      <c r="M20" s="116">
        <v>9.3338688408647794</v>
      </c>
      <c r="O20" s="120" t="s">
        <v>26</v>
      </c>
      <c r="P20" s="75">
        <f>'Round 2 - PIMLE'!B11</f>
        <v>48.446739999999998</v>
      </c>
      <c r="Q20" s="75">
        <f>'Round 2 - PIMLE'!C11</f>
        <v>38.996900000000004</v>
      </c>
      <c r="R20" s="89">
        <f>'Round 2 - PIMLE'!D11</f>
        <v>12.55636</v>
      </c>
    </row>
    <row r="21" spans="1:18" x14ac:dyDescent="0.25">
      <c r="F21" s="108" t="s">
        <v>61</v>
      </c>
      <c r="G21" s="113"/>
      <c r="H21" s="37"/>
      <c r="I21" s="114"/>
      <c r="K21" s="109">
        <v>46360</v>
      </c>
      <c r="L21" s="33"/>
      <c r="M21" s="83"/>
      <c r="O21" s="120" t="s">
        <v>70</v>
      </c>
      <c r="P21" s="75">
        <f>'Round 2 - PIMLE'!B14</f>
        <v>45.305</v>
      </c>
      <c r="Q21" s="75">
        <f>'Round 2 - PIMLE'!C14</f>
        <v>38.511109999999995</v>
      </c>
      <c r="R21" s="89">
        <f>'Round 2 - PIMLE'!D14</f>
        <v>16.183900000000001</v>
      </c>
    </row>
    <row r="22" spans="1:18" x14ac:dyDescent="0.25">
      <c r="F22" s="105" t="s">
        <v>52</v>
      </c>
      <c r="G22" s="37">
        <f>'Round 2 - PIMLE'!H4</f>
        <v>14.202949627320113</v>
      </c>
      <c r="H22" s="37">
        <f>'Round 2 - PIMLE'!H13</f>
        <v>16.173196084888573</v>
      </c>
      <c r="I22" s="122" t="s">
        <v>49</v>
      </c>
      <c r="K22" s="105" t="s">
        <v>52</v>
      </c>
      <c r="L22" s="91">
        <v>14.291339933304263</v>
      </c>
      <c r="M22" s="101">
        <v>16.173196084888573</v>
      </c>
      <c r="O22" s="120" t="s">
        <v>69</v>
      </c>
      <c r="P22" s="75">
        <f>'Round 2 - PIMLE'!B19</f>
        <v>46.520060000000001</v>
      </c>
      <c r="Q22" s="75">
        <f>'Round 2 - PIMLE'!C19</f>
        <v>38.96781</v>
      </c>
      <c r="R22" s="89">
        <f>'Round 2 - PIMLE'!D19</f>
        <v>14.512130000000001</v>
      </c>
    </row>
    <row r="23" spans="1:18" x14ac:dyDescent="0.25">
      <c r="F23" s="105" t="s">
        <v>53</v>
      </c>
      <c r="G23" s="37">
        <f>'Round 2 - PIMLE'!H8</f>
        <v>17.023460255779444</v>
      </c>
      <c r="H23" s="37">
        <f>'Round 2 - PIMLE'!H17</f>
        <v>17.095465431150259</v>
      </c>
      <c r="I23" s="122" t="s">
        <v>49</v>
      </c>
      <c r="K23" s="105" t="s">
        <v>53</v>
      </c>
      <c r="L23" s="75">
        <v>20.204322139412035</v>
      </c>
      <c r="M23" s="115">
        <v>17.095465431150259</v>
      </c>
      <c r="O23" s="119">
        <v>46368</v>
      </c>
      <c r="R23" s="81"/>
    </row>
    <row r="24" spans="1:18" x14ac:dyDescent="0.25">
      <c r="F24" s="105" t="s">
        <v>54</v>
      </c>
      <c r="G24" s="37">
        <f>'Round 2 - PIMLE'!H6</f>
        <v>11.006099231014971</v>
      </c>
      <c r="H24" s="37">
        <f>'Round 2 - PIMLE'!H15</f>
        <v>11.57675553304478</v>
      </c>
      <c r="I24" s="122" t="s">
        <v>49</v>
      </c>
      <c r="K24" s="105" t="s">
        <v>54</v>
      </c>
      <c r="L24" s="91">
        <v>11.172639797895837</v>
      </c>
      <c r="M24" s="101">
        <v>11.57675553304478</v>
      </c>
      <c r="O24" s="120" t="s">
        <v>26</v>
      </c>
      <c r="P24" s="75">
        <f>'Round 2 - PIMLE'!B20</f>
        <v>46.257899999999999</v>
      </c>
      <c r="Q24" s="75">
        <f>'Round 2 - PIMLE'!C20</f>
        <v>40.936620000000005</v>
      </c>
      <c r="R24" s="89">
        <f>'Round 2 - PIMLE'!D20</f>
        <v>12.805490000000001</v>
      </c>
    </row>
    <row r="25" spans="1:18" ht="15.75" thickBot="1" x14ac:dyDescent="0.3">
      <c r="F25" s="106" t="s">
        <v>55</v>
      </c>
      <c r="G25" s="107">
        <f>'Round 2 - PIMLE'!H10</f>
        <v>9.3338688408647794</v>
      </c>
      <c r="H25" s="107">
        <f>'Round 2 - PIMLE'!H19</f>
        <v>9.9563224249525391</v>
      </c>
      <c r="I25" s="99">
        <f>'Round 2 - PIMLE'!H22</f>
        <v>9.1039067680253201</v>
      </c>
      <c r="K25" s="105" t="s">
        <v>55</v>
      </c>
      <c r="L25" s="37">
        <v>11.044848542234654</v>
      </c>
      <c r="M25" s="116">
        <v>9.9563224249525391</v>
      </c>
      <c r="O25" s="120" t="s">
        <v>69</v>
      </c>
      <c r="P25" s="75">
        <f>'Round 2 - PIMLE'!B22</f>
        <v>47.100320000000004</v>
      </c>
      <c r="Q25" s="75">
        <f>'Round 2 - PIMLE'!C22</f>
        <v>39.726679999999995</v>
      </c>
      <c r="R25" s="89">
        <f>'Round 2 - PIMLE'!D22</f>
        <v>13.173000000000002</v>
      </c>
    </row>
    <row r="26" spans="1:18" x14ac:dyDescent="0.25">
      <c r="K26" s="109">
        <v>46368</v>
      </c>
      <c r="L26" s="33"/>
      <c r="M26" s="83"/>
      <c r="O26" s="94"/>
      <c r="R26" s="81"/>
    </row>
    <row r="27" spans="1:18" ht="15.75" thickBot="1" x14ac:dyDescent="0.3">
      <c r="K27" s="106" t="s">
        <v>55</v>
      </c>
      <c r="L27" s="107">
        <v>14.466441743766566</v>
      </c>
      <c r="M27" s="93">
        <v>9.1039067680253201</v>
      </c>
      <c r="O27" s="92" t="s">
        <v>58</v>
      </c>
      <c r="P27" s="88">
        <f>'Round 2 - PIMLE'!B23</f>
        <v>57.388958391413581</v>
      </c>
      <c r="Q27" s="88">
        <f>'Round 2 - PIMLE'!C23</f>
        <v>41.285316696986655</v>
      </c>
      <c r="R27" s="90">
        <f>'Round 2 - PIMLE'!D23</f>
        <v>1.3257249115997642</v>
      </c>
    </row>
    <row r="30" spans="1:18" x14ac:dyDescent="0.25">
      <c r="O30" t="s">
        <v>13</v>
      </c>
    </row>
    <row r="31" spans="1:18" x14ac:dyDescent="0.25">
      <c r="J31" t="s">
        <v>13</v>
      </c>
    </row>
  </sheetData>
  <mergeCells count="9">
    <mergeCell ref="AA1:AF1"/>
    <mergeCell ref="K1:M1"/>
    <mergeCell ref="K14:M14"/>
    <mergeCell ref="O1:X1"/>
    <mergeCell ref="O13:R13"/>
    <mergeCell ref="A1:C1"/>
    <mergeCell ref="A14:D14"/>
    <mergeCell ref="F1:H1"/>
    <mergeCell ref="F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A232-7F2B-4EAC-A691-12D7772E7489}">
  <dimension ref="A1:F26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18.7109375" customWidth="1"/>
    <col min="2" max="3" width="22.5703125" customWidth="1"/>
    <col min="4" max="4" width="21.42578125" customWidth="1"/>
    <col min="5" max="5" width="20.5703125" customWidth="1"/>
    <col min="6" max="6" width="22.42578125" customWidth="1"/>
  </cols>
  <sheetData>
    <row r="1" spans="1:6" s="32" customFormat="1" ht="22.5" customHeight="1" x14ac:dyDescent="0.25">
      <c r="A1" s="135" t="s">
        <v>83</v>
      </c>
      <c r="B1" s="136"/>
      <c r="C1" s="136"/>
      <c r="D1" s="136"/>
      <c r="E1" s="136"/>
      <c r="F1" s="137"/>
    </row>
    <row r="2" spans="1:6" x14ac:dyDescent="0.25">
      <c r="A2" s="34" t="s">
        <v>85</v>
      </c>
      <c r="B2" s="34" t="s">
        <v>86</v>
      </c>
      <c r="C2" s="34" t="s">
        <v>87</v>
      </c>
      <c r="D2" s="34" t="s">
        <v>88</v>
      </c>
      <c r="E2" s="34" t="s">
        <v>89</v>
      </c>
      <c r="F2" s="34" t="s">
        <v>90</v>
      </c>
    </row>
    <row r="3" spans="1:6" x14ac:dyDescent="0.25">
      <c r="A3" s="33" t="s">
        <v>45</v>
      </c>
      <c r="B3" s="75">
        <f>AVERAGE('Round 1'!M9:M10)</f>
        <v>66.290333333333336</v>
      </c>
      <c r="C3" s="75">
        <f>AVERAGE('Round 1'!M11:M12)</f>
        <v>73.37855555555555</v>
      </c>
      <c r="D3" s="75">
        <f>AVERAGE('Round 2 - 24nov'!G9:G10)</f>
        <v>119.20389010100327</v>
      </c>
      <c r="E3" s="75">
        <f>AVERAGE('Round 2 - 4dec &amp; 12dec'!G9:G10)</f>
        <v>116.96062929239069</v>
      </c>
      <c r="F3" s="75">
        <f>AVERAGE('Round 2 - 4dec &amp; 12dec'!G12:G13)</f>
        <v>152.15532854455739</v>
      </c>
    </row>
    <row r="4" spans="1:6" x14ac:dyDescent="0.25">
      <c r="A4" s="33" t="s">
        <v>46</v>
      </c>
      <c r="B4" s="75">
        <f>AVERAGE('Round 1'!M23:M24)</f>
        <v>66.112111111111105</v>
      </c>
      <c r="C4" s="36">
        <f>AVERAGE('Round 1'!M25:M26)</f>
        <v>68.916111111111093</v>
      </c>
      <c r="D4" s="75">
        <f>AVERAGE('Round 2 - 24nov'!G21:G22)</f>
        <v>113.15351972038796</v>
      </c>
      <c r="E4" s="36">
        <f>AVERAGE('Round 2 - 4dec &amp; 12dec'!G24:G25)</f>
        <v>110.47018760625582</v>
      </c>
      <c r="F4" s="75">
        <f>AVERAGE('Round 2 - 4dec &amp; 12dec'!G27:G28)</f>
        <v>146.66430417090874</v>
      </c>
    </row>
    <row r="5" spans="1:6" x14ac:dyDescent="0.25">
      <c r="A5" s="33" t="s">
        <v>47</v>
      </c>
      <c r="B5" s="75">
        <f>AVERAGE('Round 1'!M37:M38)</f>
        <v>69.030555555555551</v>
      </c>
      <c r="C5" s="75">
        <f>AVERAGE('Round 1'!M39:M40)</f>
        <v>68.932222222222222</v>
      </c>
      <c r="D5" s="75">
        <f>AVERAGE('Round 2 - 24nov'!G33:G34)</f>
        <v>114.32210220793766</v>
      </c>
      <c r="E5" s="75">
        <f>AVERAGE('Round 2 - 4dec &amp; 12dec'!G39:G40)</f>
        <v>111.41680762503192</v>
      </c>
      <c r="F5" s="75">
        <f>AVERAGE('Round 2 - 4dec &amp; 12dec'!G42:G43)</f>
        <v>150.16482344339025</v>
      </c>
    </row>
    <row r="6" spans="1:6" x14ac:dyDescent="0.25">
      <c r="A6" s="33" t="s">
        <v>48</v>
      </c>
      <c r="B6" s="36">
        <f>AVERAGE('Round 1'!M51:M52)</f>
        <v>65.792222222222222</v>
      </c>
      <c r="C6" s="75">
        <f>AVERAGE('Round 1'!M53:M54)</f>
        <v>69.321777777777768</v>
      </c>
      <c r="D6" s="36">
        <f>AVERAGE('Round 2 - 24nov'!G45:G46)</f>
        <v>112.05787395622883</v>
      </c>
      <c r="E6" s="37">
        <f>AVERAGE('Round 2 - 4dec &amp; 12dec'!G54:G55)</f>
        <v>110.55851777525788</v>
      </c>
      <c r="F6" s="36">
        <f>AVERAGE('Round 2 - 4dec &amp; 12dec'!G57:G58)</f>
        <v>146.07952758334454</v>
      </c>
    </row>
    <row r="8" spans="1:6" s="32" customFormat="1" ht="29.1" customHeight="1" x14ac:dyDescent="0.25">
      <c r="A8" s="35" t="s">
        <v>94</v>
      </c>
      <c r="B8" s="35" t="s">
        <v>93</v>
      </c>
      <c r="C8" s="35" t="s">
        <v>92</v>
      </c>
      <c r="D8" s="35" t="s">
        <v>91</v>
      </c>
    </row>
    <row r="9" spans="1:6" x14ac:dyDescent="0.25">
      <c r="A9" s="33" t="s">
        <v>45</v>
      </c>
      <c r="B9" s="75">
        <f>AVERAGE('Round 1'!M3:M8)</f>
        <v>91.842592592592595</v>
      </c>
      <c r="C9" s="75">
        <f>AVERAGE('Round 2 - 24nov'!G3:G8)</f>
        <v>229.83882145055759</v>
      </c>
      <c r="D9" s="75">
        <f>AVERAGE('Round 2 - 4dec &amp; 12dec'!G3:G8)</f>
        <v>243.03797995037095</v>
      </c>
    </row>
    <row r="10" spans="1:6" x14ac:dyDescent="0.25">
      <c r="A10" s="33" t="s">
        <v>46</v>
      </c>
      <c r="B10" s="75">
        <f>AVERAGE('Round 1'!M17:M22)</f>
        <v>91.854481481481471</v>
      </c>
      <c r="C10" s="37">
        <f>AVERAGE('Round 2 - 24nov'!G15:G20)</f>
        <v>227.13879747680457</v>
      </c>
      <c r="D10" s="75">
        <f>AVERAGE('Round 2 - 4dec &amp; 12dec'!G18:G23)</f>
        <v>238.73100914837073</v>
      </c>
    </row>
    <row r="11" spans="1:6" x14ac:dyDescent="0.25">
      <c r="A11" s="33" t="s">
        <v>47</v>
      </c>
      <c r="B11" s="75">
        <f>AVERAGE('Round 1'!M31:M36)</f>
        <v>91.991814814814816</v>
      </c>
      <c r="C11" s="75">
        <f>AVERAGE('Round 2 - 24nov'!G27:G32)</f>
        <v>227.97912951685376</v>
      </c>
      <c r="D11" s="75">
        <f>AVERAGE('Round 2 - 4dec &amp; 12dec'!G33:G38)</f>
        <v>239.76196741997265</v>
      </c>
    </row>
    <row r="12" spans="1:6" x14ac:dyDescent="0.25">
      <c r="A12" s="33" t="s">
        <v>48</v>
      </c>
      <c r="B12" s="36">
        <f>AVERAGE('Round 1'!M45:M50)</f>
        <v>91.821518518518516</v>
      </c>
      <c r="C12" s="36">
        <f>AVERAGE('Round 2 - 24nov'!G39:G44)</f>
        <v>226.66927897274036</v>
      </c>
      <c r="D12" s="36">
        <f>AVERAGE('Round 2 - 4dec &amp; 12dec'!G48:G53)</f>
        <v>237.5222314726183</v>
      </c>
    </row>
    <row r="15" spans="1:6" ht="22.5" customHeight="1" x14ac:dyDescent="0.25">
      <c r="A15" s="135" t="s">
        <v>84</v>
      </c>
      <c r="B15" s="136"/>
      <c r="C15" s="136"/>
      <c r="D15" s="136"/>
      <c r="E15" s="136"/>
      <c r="F15" s="137"/>
    </row>
    <row r="16" spans="1:6" x14ac:dyDescent="0.25">
      <c r="A16" s="34" t="s">
        <v>85</v>
      </c>
      <c r="B16" s="34" t="s">
        <v>86</v>
      </c>
      <c r="C16" s="34" t="s">
        <v>87</v>
      </c>
      <c r="D16" s="34" t="s">
        <v>88</v>
      </c>
      <c r="E16" s="34" t="s">
        <v>89</v>
      </c>
      <c r="F16" s="34" t="s">
        <v>90</v>
      </c>
    </row>
    <row r="17" spans="1:6" x14ac:dyDescent="0.25">
      <c r="A17" s="33" t="s">
        <v>45</v>
      </c>
      <c r="B17" s="76">
        <f>AVERAGE('Round 1'!N9:N10)</f>
        <v>8.1372751128197152</v>
      </c>
      <c r="C17" s="76">
        <f>AVERAGE('Round 1'!N11:N12)</f>
        <v>8.3913886007411413</v>
      </c>
      <c r="D17" s="76">
        <f>AVERAGE('Round 2 - 24nov'!H9:H10)</f>
        <v>10.867335895464457</v>
      </c>
      <c r="E17" s="76">
        <f>AVERAGE('Round 2 - 4dec &amp; 12dec'!H9:H10)</f>
        <v>10.809028886568186</v>
      </c>
      <c r="F17" s="76">
        <f>AVERAGE('Round 2 - 4dec &amp; 12dec'!H12:H13)</f>
        <v>12.101003909869064</v>
      </c>
    </row>
    <row r="18" spans="1:6" x14ac:dyDescent="0.25">
      <c r="A18" s="33" t="s">
        <v>46</v>
      </c>
      <c r="B18" s="76">
        <f>AVERAGE('Round 1'!N23:N24)</f>
        <v>8.126479600519648</v>
      </c>
      <c r="C18" s="79">
        <f>AVERAGE('Round 1'!N25:N26)</f>
        <v>8.1087335221968804</v>
      </c>
      <c r="D18" s="76">
        <f>AVERAGE('Round 2 - 24nov'!H21:H22)</f>
        <v>10.568860995474283</v>
      </c>
      <c r="E18" s="79">
        <f>AVERAGE('Round 2 - 4dec &amp; 12dec'!H24:H25)</f>
        <v>10.496779401178728</v>
      </c>
      <c r="F18" s="76">
        <f>AVERAGE('Round 2 - 4dec &amp; 12dec'!H27:H28)</f>
        <v>11.804440943902183</v>
      </c>
    </row>
    <row r="19" spans="1:6" x14ac:dyDescent="0.25">
      <c r="A19" s="33" t="s">
        <v>47</v>
      </c>
      <c r="B19" s="76">
        <f>AVERAGE('Round 1'!N37:N38)</f>
        <v>8.3010889843086666</v>
      </c>
      <c r="C19" s="76">
        <f>AVERAGE('Round 1'!N39:N40)</f>
        <v>8.1504659307154625</v>
      </c>
      <c r="D19" s="76">
        <f>AVERAGE('Round 2 - 24nov'!H33:H34)</f>
        <v>10.63295341435763</v>
      </c>
      <c r="E19" s="76">
        <f>AVERAGE('Round 2 - 4dec &amp; 12dec'!H39:H40)</f>
        <v>10.550040515966344</v>
      </c>
      <c r="F19" s="76">
        <f>AVERAGE('Round 2 - 4dec &amp; 12dec'!H42:H43)</f>
        <v>11.953801367022315</v>
      </c>
    </row>
    <row r="20" spans="1:6" x14ac:dyDescent="0.25">
      <c r="A20" s="33" t="s">
        <v>48</v>
      </c>
      <c r="B20" s="79">
        <f>AVERAGE('Round 1'!N51:N52)</f>
        <v>8.1073623698168902</v>
      </c>
      <c r="C20" s="76">
        <f>AVERAGE('Round 1'!N53:N54)</f>
        <v>8.1411294119303381</v>
      </c>
      <c r="D20" s="79">
        <f>AVERAGE('Round 2 - 24nov'!H45:H46)</f>
        <v>10.519169898734489</v>
      </c>
      <c r="E20" s="76">
        <f>AVERAGE('Round 2 - 4dec &amp; 12dec'!H54:H55)</f>
        <v>10.500585483593596</v>
      </c>
      <c r="F20" s="79">
        <f>AVERAGE('Round 2 - 4dec &amp; 12dec'!H57:H58)</f>
        <v>11.785174255895942</v>
      </c>
    </row>
    <row r="22" spans="1:6" ht="27" customHeight="1" x14ac:dyDescent="0.25">
      <c r="A22" s="35" t="s">
        <v>94</v>
      </c>
      <c r="B22" s="35" t="s">
        <v>93</v>
      </c>
      <c r="C22" s="35" t="s">
        <v>92</v>
      </c>
      <c r="D22" s="35" t="s">
        <v>91</v>
      </c>
      <c r="E22" s="32"/>
      <c r="F22" s="32"/>
    </row>
    <row r="23" spans="1:6" x14ac:dyDescent="0.25">
      <c r="A23" s="33" t="s">
        <v>45</v>
      </c>
      <c r="B23" s="77">
        <f>AVERAGE('Round 1'!N3:N8)</f>
        <v>9.5521161396782066</v>
      </c>
      <c r="C23" s="77">
        <f>AVERAGE('Round 2 - 24nov'!H3:H8)</f>
        <v>14.821014608595265</v>
      </c>
      <c r="D23" s="77">
        <f>AVERAGE('Round 2 - 4dec &amp; 12dec'!H3:H8)</f>
        <v>15.263236089840559</v>
      </c>
    </row>
    <row r="24" spans="1:6" x14ac:dyDescent="0.25">
      <c r="A24" s="33" t="s">
        <v>46</v>
      </c>
      <c r="B24" s="77">
        <f>AVERAGE('Round 1'!N17:N22)</f>
        <v>9.5535201963880372</v>
      </c>
      <c r="C24" s="77">
        <f>AVERAGE('Round 2 - 24nov'!H15:H20)</f>
        <v>14.730899561163779</v>
      </c>
      <c r="D24" s="77">
        <f>AVERAGE('Round 2 - 4dec &amp; 12dec'!H18:H23)</f>
        <v>15.124919372017496</v>
      </c>
    </row>
    <row r="25" spans="1:6" x14ac:dyDescent="0.25">
      <c r="A25" s="33" t="s">
        <v>47</v>
      </c>
      <c r="B25" s="77">
        <f>AVERAGE('Round 1'!N31:N36)</f>
        <v>9.5615054228487661</v>
      </c>
      <c r="C25" s="77">
        <f>AVERAGE('Round 2 - 24nov'!H27:H32)</f>
        <v>14.754477706556131</v>
      </c>
      <c r="D25" s="77">
        <f>AVERAGE('Round 2 - 4dec &amp; 12dec'!H33:H38)</f>
        <v>15.156777066857339</v>
      </c>
    </row>
    <row r="26" spans="1:6" x14ac:dyDescent="0.25">
      <c r="A26" s="33" t="s">
        <v>48</v>
      </c>
      <c r="B26" s="78">
        <f>AVERAGE('Round 1'!N45:N50)</f>
        <v>9.5515385954767442</v>
      </c>
      <c r="C26" s="78">
        <f>AVERAGE('Round 2 - 24nov'!H39:H44)</f>
        <v>14.714780925272573</v>
      </c>
      <c r="D26" s="78">
        <f>AVERAGE('Round 2 - 4dec &amp; 12dec'!H48:H53)</f>
        <v>15.085619819949292</v>
      </c>
    </row>
  </sheetData>
  <mergeCells count="2">
    <mergeCell ref="A1:F1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59CA-9ADF-420F-A51D-D77CDBB74A88}">
  <dimension ref="A1:M26"/>
  <sheetViews>
    <sheetView zoomScaleNormal="100" workbookViewId="0">
      <selection activeCell="N10" sqref="N10"/>
    </sheetView>
  </sheetViews>
  <sheetFormatPr baseColWidth="10" defaultColWidth="11.42578125" defaultRowHeight="15" x14ac:dyDescent="0.25"/>
  <cols>
    <col min="1" max="1" width="40.85546875" customWidth="1"/>
  </cols>
  <sheetData>
    <row r="1" spans="1:12" x14ac:dyDescent="0.25">
      <c r="A1" s="40" t="s">
        <v>38</v>
      </c>
      <c r="B1" s="12" t="s">
        <v>4</v>
      </c>
      <c r="C1" s="12" t="s">
        <v>1</v>
      </c>
      <c r="D1" s="1" t="s">
        <v>39</v>
      </c>
      <c r="E1" s="12" t="s">
        <v>9</v>
      </c>
      <c r="F1" s="12" t="s">
        <v>10</v>
      </c>
      <c r="G1" s="12" t="s">
        <v>11</v>
      </c>
      <c r="H1" s="12" t="s">
        <v>12</v>
      </c>
      <c r="I1" s="138" t="s">
        <v>82</v>
      </c>
      <c r="J1" s="134"/>
      <c r="K1" s="134"/>
      <c r="L1" s="134"/>
    </row>
    <row r="2" spans="1:12" ht="15.75" thickBot="1" x14ac:dyDescent="0.3">
      <c r="A2" s="47" t="s">
        <v>40</v>
      </c>
      <c r="B2" s="48">
        <v>48</v>
      </c>
      <c r="C2" s="48">
        <v>38</v>
      </c>
      <c r="D2" s="48">
        <v>12</v>
      </c>
      <c r="E2" s="48">
        <f t="shared" ref="E2:E22" si="0">AVERAGE((B2-$B$23)^2, (C2-$C$23)^2)</f>
        <v>49.472922737597408</v>
      </c>
      <c r="F2" s="48">
        <f t="shared" ref="F2:F11" si="1">SQRT(E2)</f>
        <v>7.0336990792610266</v>
      </c>
      <c r="G2" s="48">
        <f>AVERAGE((B2-$B$23)^2, (C2-$C$23)^2, (D2-$D$23)^2)</f>
        <v>70.961998046012226</v>
      </c>
      <c r="H2" s="48">
        <f>SQRT(G2)</f>
        <v>8.4238944702561547</v>
      </c>
      <c r="I2" s="49" t="s">
        <v>9</v>
      </c>
      <c r="J2" s="49" t="s">
        <v>10</v>
      </c>
      <c r="K2" s="49" t="s">
        <v>11</v>
      </c>
      <c r="L2" s="49" t="s">
        <v>12</v>
      </c>
    </row>
    <row r="3" spans="1:12" x14ac:dyDescent="0.25">
      <c r="A3" s="50" t="s">
        <v>15</v>
      </c>
      <c r="B3" s="51">
        <v>38.555909999999997</v>
      </c>
      <c r="C3" s="51">
        <v>43.661180000000002</v>
      </c>
      <c r="D3" s="51">
        <v>17.782909999999998</v>
      </c>
      <c r="E3" s="51">
        <f t="shared" si="0"/>
        <v>180.16421907396565</v>
      </c>
      <c r="F3" s="51">
        <f t="shared" si="1"/>
        <v>13.422526553297097</v>
      </c>
      <c r="G3" s="51">
        <f>AVERAGE((B3-$B$23)^2, (C3-$C$23)^2, (D3-$D$23)^2)</f>
        <v>210.38912639393143</v>
      </c>
      <c r="H3" s="51">
        <f t="shared" ref="H3:H10" si="2">SQRT(G3)</f>
        <v>14.504796668479411</v>
      </c>
      <c r="I3" s="51">
        <f>AVERAGE((B3-$B$2)^2, (C3-$C$2)^2)</f>
        <v>60.619897460250037</v>
      </c>
      <c r="J3" s="51">
        <f t="shared" ref="J3:J10" si="3">SQRT(I3)</f>
        <v>7.7858780789484516</v>
      </c>
      <c r="K3" s="51">
        <f>AVERAGE((B3-$B$2)^2, (C3-$C$2)^2, (D3-$D$2)^2)</f>
        <v>51.560614329533344</v>
      </c>
      <c r="L3" s="52">
        <f t="shared" ref="L3:L10" si="4">SQRT(K3)</f>
        <v>7.1805720057341773</v>
      </c>
    </row>
    <row r="4" spans="1:12" x14ac:dyDescent="0.25">
      <c r="A4" s="53" t="s">
        <v>16</v>
      </c>
      <c r="B4" s="6">
        <v>41.000120000000003</v>
      </c>
      <c r="C4" s="6">
        <v>39.422890000000002</v>
      </c>
      <c r="D4" s="6">
        <v>19.576989999999999</v>
      </c>
      <c r="E4" s="6">
        <f t="shared" si="0"/>
        <v>136.03132851076012</v>
      </c>
      <c r="F4" s="6">
        <f t="shared" si="1"/>
        <v>11.663246911163293</v>
      </c>
      <c r="G4" s="6">
        <f>AVERAGE((B4-$B$23)^2, (C4-$C$23)^2, (D4-$D$23)^2)</f>
        <v>201.72377811619251</v>
      </c>
      <c r="H4" s="6">
        <f t="shared" si="2"/>
        <v>14.202949627320113</v>
      </c>
      <c r="I4" s="6">
        <f>AVERAGE((B4-$B$2)^2, (C4-$C$2)^2)</f>
        <v>25.511467983249986</v>
      </c>
      <c r="J4" s="6">
        <f t="shared" si="3"/>
        <v>5.0508878410879392</v>
      </c>
      <c r="K4" s="6">
        <f>AVERAGE((B4-$B$2)^2, (C4-$C$2)^2, (D4-$D$2)^2)</f>
        <v>36.144571142199986</v>
      </c>
      <c r="L4" s="54">
        <f t="shared" si="4"/>
        <v>6.0120355240301091</v>
      </c>
    </row>
    <row r="5" spans="1:12" x14ac:dyDescent="0.25">
      <c r="A5" s="55" t="s">
        <v>17</v>
      </c>
      <c r="B5" s="39">
        <v>44.998129999999996</v>
      </c>
      <c r="C5" s="39">
        <v>38.64987</v>
      </c>
      <c r="D5" s="39">
        <v>16.352</v>
      </c>
      <c r="E5" s="39">
        <f t="shared" si="0"/>
        <v>80.239103759059418</v>
      </c>
      <c r="F5" s="39">
        <f t="shared" si="1"/>
        <v>8.9576282440755168</v>
      </c>
      <c r="G5" s="39">
        <f>AVERAGE((B5-$B$23)^2, (C5-$C$23)^2, (D5-$D$23)^2)</f>
        <v>128.75571685013213</v>
      </c>
      <c r="H5" s="39">
        <f t="shared" si="2"/>
        <v>11.347057629629459</v>
      </c>
      <c r="I5" s="39">
        <f>AVERAGE((B5-$B$2)^2, (C5-$C$2)^2)</f>
        <v>4.716777256900011</v>
      </c>
      <c r="J5" s="39">
        <f t="shared" si="3"/>
        <v>2.1718142777180582</v>
      </c>
      <c r="K5" s="39">
        <f>AVERAGE((B5-$B$2)^2, (C5-$C$2)^2, (D5-$D$2)^2)</f>
        <v>9.4578195046000086</v>
      </c>
      <c r="L5" s="56">
        <f t="shared" si="4"/>
        <v>3.0753568093149792</v>
      </c>
    </row>
    <row r="6" spans="1:12" x14ac:dyDescent="0.25">
      <c r="A6" s="57" t="s">
        <v>18</v>
      </c>
      <c r="B6" s="22">
        <v>45.857419999999998</v>
      </c>
      <c r="C6" s="22">
        <v>37.997409999999995</v>
      </c>
      <c r="D6" s="22">
        <v>16.14517</v>
      </c>
      <c r="E6" s="22">
        <f t="shared" si="0"/>
        <v>71.893354060367557</v>
      </c>
      <c r="F6" s="22">
        <f t="shared" si="1"/>
        <v>8.4789948732363065</v>
      </c>
      <c r="G6" s="22">
        <f>AVERAGE((B6-$B$23)^2, (C6-$C$23)^2, (D6-$D$23)^2)</f>
        <v>121.13422028294833</v>
      </c>
      <c r="H6" s="22">
        <f t="shared" si="2"/>
        <v>11.006099231014971</v>
      </c>
      <c r="I6" s="22">
        <f>AVERAGE((B6-$B$2)^2, (C6-$C$2)^2)</f>
        <v>2.2953278822500049</v>
      </c>
      <c r="J6" s="22">
        <f t="shared" si="3"/>
        <v>1.5150339541574653</v>
      </c>
      <c r="K6" s="22">
        <f>AVERAGE((B6-$B$2)^2, (C6-$C$2)^2, (D6-$D$2)^2)</f>
        <v>7.2576966978000037</v>
      </c>
      <c r="L6" s="58">
        <f t="shared" si="4"/>
        <v>2.6940112653439301</v>
      </c>
    </row>
    <row r="7" spans="1:12" x14ac:dyDescent="0.25">
      <c r="A7" s="53" t="s">
        <v>19</v>
      </c>
      <c r="B7" s="6">
        <v>33.333329999999997</v>
      </c>
      <c r="C7" s="6">
        <v>66.666669999999996</v>
      </c>
      <c r="D7" s="6">
        <v>0</v>
      </c>
      <c r="E7" s="6">
        <f t="shared" si="0"/>
        <v>611.44317639908479</v>
      </c>
      <c r="F7" s="6">
        <f t="shared" si="1"/>
        <v>24.727377062662445</v>
      </c>
      <c r="G7" s="6">
        <f>AVERAGE((B7-$B$23)^2, (C7-$C$23)^2, (D7-$D$23)^2)</f>
        <v>408.21463311313528</v>
      </c>
      <c r="H7" s="6">
        <f t="shared" si="2"/>
        <v>20.204322139412035</v>
      </c>
      <c r="I7" s="6">
        <f>AVERAGE((B7-$B$2)^2, (C7-$C$2)^2)</f>
        <v>518.44458888889994</v>
      </c>
      <c r="J7" s="6">
        <f t="shared" si="3"/>
        <v>22.769378315819253</v>
      </c>
      <c r="K7" s="6">
        <f>AVERAGE((B7-$B$2)^2, (C7-$C$2)^2, (D7-$D$2)^2)</f>
        <v>393.62972592593331</v>
      </c>
      <c r="L7" s="54">
        <f t="shared" si="4"/>
        <v>19.840103979715764</v>
      </c>
    </row>
    <row r="8" spans="1:12" x14ac:dyDescent="0.25">
      <c r="A8" s="53" t="s">
        <v>20</v>
      </c>
      <c r="B8" s="6">
        <v>33.333329999999997</v>
      </c>
      <c r="C8" s="6">
        <v>54.145209999999999</v>
      </c>
      <c r="D8" s="6">
        <v>12.521460000000001</v>
      </c>
      <c r="E8" s="6">
        <f t="shared" si="0"/>
        <v>372.02505653533535</v>
      </c>
      <c r="F8" s="6">
        <f t="shared" si="1"/>
        <v>19.287951071467788</v>
      </c>
      <c r="G8" s="6">
        <f>AVERAGE((B8-$B$23)^2, (C8-$C$23)^2, (D8-$D$23)^2)</f>
        <v>289.79819908010234</v>
      </c>
      <c r="H8" s="6">
        <f t="shared" si="2"/>
        <v>17.023460255779444</v>
      </c>
      <c r="I8" s="6">
        <f>AVERAGE((B8-$B$2)^2, (C8-$C$2)^2)</f>
        <v>237.88950741650001</v>
      </c>
      <c r="J8" s="6">
        <f t="shared" si="3"/>
        <v>15.423667119608748</v>
      </c>
      <c r="K8" s="6">
        <f>AVERAGE((B8-$B$2)^2, (C8-$C$2)^2, (D8-$D$2)^2)</f>
        <v>158.68364512153335</v>
      </c>
      <c r="L8" s="54">
        <f t="shared" si="4"/>
        <v>12.596969680106932</v>
      </c>
    </row>
    <row r="9" spans="1:12" x14ac:dyDescent="0.25">
      <c r="A9" s="59" t="s">
        <v>41</v>
      </c>
      <c r="B9" s="25">
        <v>47.60633</v>
      </c>
      <c r="C9" s="25">
        <v>34.613019999999999</v>
      </c>
      <c r="D9" s="24">
        <v>17.780650000000001</v>
      </c>
      <c r="E9" s="24">
        <f t="shared" si="0"/>
        <v>70.109680728555048</v>
      </c>
      <c r="F9" s="24">
        <f t="shared" si="1"/>
        <v>8.3731523770056313</v>
      </c>
      <c r="G9" s="24">
        <f>AVERAGE((B9-$B$23)^2, (C9-$C$23)^2, (D9-$D$23)^2)</f>
        <v>136.99464037399122</v>
      </c>
      <c r="H9" s="24">
        <f t="shared" si="2"/>
        <v>11.704470956604199</v>
      </c>
      <c r="I9" s="24">
        <f>AVERAGE((B9-$B$2)^2, (C9-$C$2)^2)</f>
        <v>5.813304794650004</v>
      </c>
      <c r="J9" s="24">
        <f t="shared" si="3"/>
        <v>2.4110795911064411</v>
      </c>
      <c r="K9" s="24">
        <f>AVERAGE((B9-$B$2)^2, (C9-$C$2)^2, (D9-$D$2)^2)</f>
        <v>15.014174670600008</v>
      </c>
      <c r="L9" s="60">
        <f t="shared" si="4"/>
        <v>3.8748128562035107</v>
      </c>
    </row>
    <row r="10" spans="1:12" ht="15.75" thickBot="1" x14ac:dyDescent="0.3">
      <c r="A10" s="61" t="s">
        <v>42</v>
      </c>
      <c r="B10" s="62">
        <v>46.769190000000002</v>
      </c>
      <c r="C10" s="62">
        <v>39.805720000000001</v>
      </c>
      <c r="D10" s="62">
        <v>13.425090000000001</v>
      </c>
      <c r="E10" s="62">
        <f t="shared" si="0"/>
        <v>57.48434353650039</v>
      </c>
      <c r="F10" s="62">
        <f t="shared" si="1"/>
        <v>7.5818430171364266</v>
      </c>
      <c r="G10" s="62">
        <f>AVERAGE((B10-$B$23)^2, (C10-$C$23)^2, (D10-$D$23)^2)</f>
        <v>87.121107538466433</v>
      </c>
      <c r="H10" s="62">
        <f t="shared" si="2"/>
        <v>9.3338688408647794</v>
      </c>
      <c r="I10" s="62">
        <f>AVERAGE((B10-$B$2)^2, (C10-$C$2)^2)</f>
        <v>2.3877589872499994</v>
      </c>
      <c r="J10" s="62">
        <f t="shared" si="3"/>
        <v>1.5452375180696329</v>
      </c>
      <c r="K10" s="62">
        <f>AVERAGE((B10-$B$2)^2, (C10-$C$2)^2, (D10-$D$2)^2)</f>
        <v>2.2687998275333339</v>
      </c>
      <c r="L10" s="63">
        <f t="shared" si="4"/>
        <v>1.5062535734508098</v>
      </c>
    </row>
    <row r="11" spans="1:12" ht="14.45" customHeight="1" thickBot="1" x14ac:dyDescent="0.3">
      <c r="A11" s="64" t="s">
        <v>30</v>
      </c>
      <c r="B11" s="65">
        <v>48.446739999999998</v>
      </c>
      <c r="C11" s="65">
        <v>38.996900000000004</v>
      </c>
      <c r="D11" s="65">
        <v>12.55636</v>
      </c>
      <c r="E11" s="65">
        <f t="shared" si="0"/>
        <v>42.600060369391308</v>
      </c>
      <c r="F11" s="65">
        <f t="shared" si="1"/>
        <v>6.5268721735139952</v>
      </c>
      <c r="G11" s="65">
        <f>AVERAGE((B11-$B$23)^2, (C11-$C$23)^2, (D11-$D$23)^2)</f>
        <v>70.442428409196395</v>
      </c>
      <c r="H11" s="65">
        <f>SQRT(G11)</f>
        <v>8.3929987733346181</v>
      </c>
    </row>
    <row r="12" spans="1:12" ht="15" customHeight="1" x14ac:dyDescent="0.25">
      <c r="A12" s="50" t="s">
        <v>43</v>
      </c>
      <c r="B12" s="51">
        <v>39.361750000000001</v>
      </c>
      <c r="C12" s="51">
        <v>42.385120000000001</v>
      </c>
      <c r="D12" s="51">
        <v>18.253140000000002</v>
      </c>
      <c r="E12" s="66">
        <f t="shared" si="0"/>
        <v>163.09490484638565</v>
      </c>
      <c r="F12" s="51">
        <f t="shared" ref="F12:F19" si="5">SQRT(E12)</f>
        <v>12.770861554585331</v>
      </c>
      <c r="G12" s="51">
        <f>AVERAGE((B12-$B$23)^2, (C12-$C$23)^2, (D12-$D$23)^2)</f>
        <v>204.24239708925711</v>
      </c>
      <c r="H12" s="51">
        <f t="shared" ref="H12:H22" si="6">SQRT(G12)</f>
        <v>14.291339933304263</v>
      </c>
      <c r="I12" s="51">
        <f>AVERAGE((B12-$B$11)^2, (C12-$C$11)^2)</f>
        <v>47.008539034249964</v>
      </c>
      <c r="J12" s="51">
        <f t="shared" ref="J12:J23" si="7">SQRT(I12)</f>
        <v>6.8562773451961494</v>
      </c>
      <c r="K12" s="51">
        <f>AVERAGE((B12-$B$11)^2, (C12-$C$11)^2, (D12-$D$11)^2)</f>
        <v>42.156793478966648</v>
      </c>
      <c r="L12" s="52">
        <f t="shared" ref="L12:L23" si="8">SQRT(K12)</f>
        <v>6.4928263090095557</v>
      </c>
    </row>
    <row r="13" spans="1:12" x14ac:dyDescent="0.25">
      <c r="A13" s="53" t="s">
        <v>16</v>
      </c>
      <c r="B13" s="6">
        <v>37.180819999999997</v>
      </c>
      <c r="C13" s="6">
        <v>42.111359999999998</v>
      </c>
      <c r="D13" s="6">
        <v>20.707819999999998</v>
      </c>
      <c r="E13" s="10">
        <f t="shared" si="0"/>
        <v>204.52560239248839</v>
      </c>
      <c r="F13" s="6">
        <f t="shared" si="5"/>
        <v>14.301244784720259</v>
      </c>
      <c r="G13" s="6">
        <f>AVERAGE((B13-$B$23)^2, (C13-$C$23)^2, (D13-$D$23)^2)</f>
        <v>261.57227160025508</v>
      </c>
      <c r="H13" s="6">
        <f t="shared" si="6"/>
        <v>16.173196084888573</v>
      </c>
      <c r="I13" s="6">
        <f>AVERAGE((B13-$B$11)^2, (C13-$C$11)^2)</f>
        <v>68.310407268999995</v>
      </c>
      <c r="J13" s="6">
        <f t="shared" si="7"/>
        <v>8.2650110265504182</v>
      </c>
      <c r="K13" s="6">
        <f>AVERAGE((B13-$B$11)^2, (C13-$C$11)^2, (D13-$D$11)^2)</f>
        <v>67.689038223199987</v>
      </c>
      <c r="L13" s="54">
        <f t="shared" si="8"/>
        <v>8.227334818955649</v>
      </c>
    </row>
    <row r="14" spans="1:12" ht="15" customHeight="1" x14ac:dyDescent="0.25">
      <c r="A14" s="55" t="s">
        <v>72</v>
      </c>
      <c r="B14" s="39">
        <v>45.305</v>
      </c>
      <c r="C14" s="39">
        <v>38.511109999999995</v>
      </c>
      <c r="D14" s="39">
        <v>16.183900000000001</v>
      </c>
      <c r="E14" s="38">
        <f t="shared" si="0"/>
        <v>76.859136601510173</v>
      </c>
      <c r="F14" s="39">
        <f t="shared" si="5"/>
        <v>8.7669342761030311</v>
      </c>
      <c r="G14" s="39">
        <f>AVERAGE((B14-$B$23)^2, (C14-$C$23)^2, (D14-$D$23)^2)</f>
        <v>124.82788005352592</v>
      </c>
      <c r="H14" s="39">
        <f t="shared" si="6"/>
        <v>11.172639797895837</v>
      </c>
      <c r="I14" s="22">
        <f>AVERAGE((B14-$B$11)^2, (C14-$C$11)^2)</f>
        <v>5.0532610758499992</v>
      </c>
      <c r="J14" s="22">
        <f t="shared" si="7"/>
        <v>2.2479459681785054</v>
      </c>
      <c r="K14" s="22">
        <f>AVERAGE((B14-$B$11)^2, (C14-$C$11)^2, (D14-$D$11)^2)</f>
        <v>7.7551895344333373</v>
      </c>
      <c r="L14" s="58">
        <f t="shared" si="8"/>
        <v>2.7848140933342997</v>
      </c>
    </row>
    <row r="15" spans="1:12" x14ac:dyDescent="0.25">
      <c r="A15" s="57" t="s">
        <v>18</v>
      </c>
      <c r="B15" s="22">
        <v>45.386189999999999</v>
      </c>
      <c r="C15" s="22">
        <v>37.643979999999999</v>
      </c>
      <c r="D15" s="22">
        <v>16.969829999999998</v>
      </c>
      <c r="E15" s="21">
        <f t="shared" si="0"/>
        <v>78.662890999369338</v>
      </c>
      <c r="F15" s="22">
        <f t="shared" si="5"/>
        <v>8.8692102804798427</v>
      </c>
      <c r="G15" s="22">
        <f>AVERAGE((B15-$B$23)^2, (C15-$C$23)^2, (D15-$D$23)^2)</f>
        <v>134.02126867188292</v>
      </c>
      <c r="H15" s="22">
        <f t="shared" si="6"/>
        <v>11.57675553304478</v>
      </c>
      <c r="I15" s="39">
        <f>AVERAGE((B15-$B$11)^2, (C15-$C$11)^2)</f>
        <v>5.5986794144500038</v>
      </c>
      <c r="J15" s="39">
        <f t="shared" si="7"/>
        <v>2.3661528721640122</v>
      </c>
      <c r="K15" s="39">
        <f>AVERAGE((B15-$B$11)^2, (C15-$C$11)^2, (D15-$D$11)^2)</f>
        <v>10.225358756599997</v>
      </c>
      <c r="L15" s="56">
        <f t="shared" si="8"/>
        <v>3.1977114873921937</v>
      </c>
    </row>
    <row r="16" spans="1:12" x14ac:dyDescent="0.25">
      <c r="A16" s="53" t="s">
        <v>19</v>
      </c>
      <c r="B16" s="6">
        <v>33.333329999999997</v>
      </c>
      <c r="C16" s="6">
        <v>66.666669999999996</v>
      </c>
      <c r="D16" s="6">
        <v>0</v>
      </c>
      <c r="E16" s="10">
        <f t="shared" si="0"/>
        <v>611.44317639908479</v>
      </c>
      <c r="F16" s="6">
        <f t="shared" si="5"/>
        <v>24.727377062662445</v>
      </c>
      <c r="G16" s="6">
        <f>AVERAGE((B16-$B$23)^2, (C16-$C$23)^2, (D16-$D$23)^2)</f>
        <v>408.21463311313528</v>
      </c>
      <c r="H16" s="6">
        <f t="shared" si="6"/>
        <v>20.204322139412035</v>
      </c>
      <c r="I16" s="6">
        <f>AVERAGE((B16-$B$11)^2, (C16-$C$11)^2)</f>
        <v>497.01566684049982</v>
      </c>
      <c r="J16" s="6">
        <f t="shared" si="7"/>
        <v>22.29384818375912</v>
      </c>
      <c r="K16" s="6">
        <f>AVERAGE((B16-$B$11)^2, (C16-$C$11)^2, (D16-$D$11)^2)</f>
        <v>383.8978367101999</v>
      </c>
      <c r="L16" s="54">
        <f t="shared" si="8"/>
        <v>19.593311019585226</v>
      </c>
    </row>
    <row r="17" spans="1:13" x14ac:dyDescent="0.25">
      <c r="A17" s="67" t="s">
        <v>20</v>
      </c>
      <c r="B17" s="6">
        <v>33.333329999999997</v>
      </c>
      <c r="C17" s="6">
        <v>55.405369999999998</v>
      </c>
      <c r="D17" s="6">
        <v>11.2613</v>
      </c>
      <c r="E17" s="10">
        <f t="shared" si="0"/>
        <v>389.02458129286066</v>
      </c>
      <c r="F17" s="6">
        <f t="shared" si="5"/>
        <v>19.723706073982665</v>
      </c>
      <c r="G17" s="6">
        <f>AVERAGE((B17-$B$23)^2, (C17-$C$23)^2, (D17-$D$23)^2)</f>
        <v>292.25493830765356</v>
      </c>
      <c r="H17" s="6">
        <f t="shared" si="6"/>
        <v>17.095465431150259</v>
      </c>
      <c r="I17" s="6">
        <f>AVERAGE((B17-$B$11)^2, (C17-$C$11)^2)</f>
        <v>248.82652478449992</v>
      </c>
      <c r="J17" s="6">
        <f t="shared" si="7"/>
        <v>15.774236107796153</v>
      </c>
      <c r="K17" s="6">
        <f>AVERAGE((B17-$B$11)^2, (C17-$C$11)^2, (D17-$D$11)^2)</f>
        <v>166.44340999086663</v>
      </c>
      <c r="L17" s="54">
        <f t="shared" si="8"/>
        <v>12.901294895895784</v>
      </c>
    </row>
    <row r="18" spans="1:13" x14ac:dyDescent="0.25">
      <c r="A18" s="59" t="s">
        <v>31</v>
      </c>
      <c r="B18" s="25">
        <v>47.308410000000002</v>
      </c>
      <c r="C18" s="25">
        <v>35.992629999999998</v>
      </c>
      <c r="D18" s="24">
        <v>16.69895</v>
      </c>
      <c r="E18" s="24">
        <f t="shared" si="0"/>
        <v>64.814994172045203</v>
      </c>
      <c r="F18" s="25">
        <f t="shared" si="5"/>
        <v>8.050775998128703</v>
      </c>
      <c r="G18" s="25">
        <f>AVERAGE((B18-$B$23)^2, (C18-$C$23)^2, (D18-$D$23)^2)</f>
        <v>121.98867932090296</v>
      </c>
      <c r="H18" s="25">
        <f t="shared" si="6"/>
        <v>11.044848542234654</v>
      </c>
      <c r="I18" s="25">
        <f>AVERAGE((B18-$B$11)^2, (C18-$C$11)^2)</f>
        <v>5.1607167109000116</v>
      </c>
      <c r="J18" s="25">
        <f t="shared" si="7"/>
        <v>2.2717210900328437</v>
      </c>
      <c r="K18" s="25">
        <f>AVERAGE((B18-$B$11)^2, (C18-$C$11)^2, (D18-$D$11)^2)</f>
        <v>9.1608284433000087</v>
      </c>
      <c r="L18" s="68">
        <f t="shared" si="8"/>
        <v>3.0266860496754546</v>
      </c>
    </row>
    <row r="19" spans="1:13" ht="15.75" thickBot="1" x14ac:dyDescent="0.3">
      <c r="A19" s="61" t="s">
        <v>32</v>
      </c>
      <c r="B19" s="62">
        <v>46.520060000000001</v>
      </c>
      <c r="C19" s="62">
        <v>38.96781</v>
      </c>
      <c r="D19" s="73">
        <v>14.512130000000001</v>
      </c>
      <c r="E19" s="73">
        <f t="shared" si="0"/>
        <v>61.751894766725357</v>
      </c>
      <c r="F19" s="62">
        <f t="shared" si="5"/>
        <v>7.8582373829457044</v>
      </c>
      <c r="G19" s="62">
        <f>AVERAGE((B19-$B$23)^2, (C19-$C$23)^2, (D19-$D$23)^2)</f>
        <v>99.128356229612791</v>
      </c>
      <c r="H19" s="62">
        <f t="shared" si="6"/>
        <v>9.9563224249525391</v>
      </c>
      <c r="I19" s="62">
        <f>AVERAGE((B19-$B$11)^2, (C19-$C$11)^2)</f>
        <v>1.8564710252499954</v>
      </c>
      <c r="J19" s="62">
        <f t="shared" si="7"/>
        <v>1.3625237705265898</v>
      </c>
      <c r="K19" s="62">
        <f>AVERAGE((B19-$B$11)^2, (C19-$C$11)^2, (D19-$D$11)^2)</f>
        <v>2.5126594477999986</v>
      </c>
      <c r="L19" s="63">
        <f t="shared" si="8"/>
        <v>1.585137043854568</v>
      </c>
    </row>
    <row r="20" spans="1:13" ht="15.75" thickBot="1" x14ac:dyDescent="0.3">
      <c r="A20" s="64" t="s">
        <v>33</v>
      </c>
      <c r="B20" s="65">
        <v>46.257899999999999</v>
      </c>
      <c r="C20" s="65">
        <v>40.936620000000005</v>
      </c>
      <c r="D20" s="65">
        <v>12.805490000000001</v>
      </c>
      <c r="E20" s="65">
        <f t="shared" si="0"/>
        <v>62.011025149774063</v>
      </c>
      <c r="F20" s="65">
        <f t="shared" ref="F20" si="9">SQRT(E20)</f>
        <v>7.8747079406016107</v>
      </c>
      <c r="G20" s="65">
        <f>AVERAGE((B20-$B$23)^2, (C20-$C$23)^2, (D20-$D$23)^2)</f>
        <v>85.269018928133676</v>
      </c>
      <c r="H20" s="65">
        <f>SQRT(G20)</f>
        <v>9.2341225315745987</v>
      </c>
    </row>
    <row r="21" spans="1:13" x14ac:dyDescent="0.25">
      <c r="A21" s="69" t="s">
        <v>34</v>
      </c>
      <c r="B21" s="70">
        <v>40.156939999999999</v>
      </c>
      <c r="C21" s="70">
        <v>40.350929999999998</v>
      </c>
      <c r="D21" s="71">
        <v>19.49213</v>
      </c>
      <c r="E21" s="71">
        <f t="shared" si="0"/>
        <v>148.90776817076079</v>
      </c>
      <c r="F21" s="70">
        <f>SQRT(E21)</f>
        <v>12.202777067977634</v>
      </c>
      <c r="G21" s="70">
        <f>AVERAGE((B21-$B$23)^2, (C21-$C$23)^2, (D21-$D$23)^2)</f>
        <v>209.27793672579185</v>
      </c>
      <c r="H21" s="70">
        <f t="shared" si="6"/>
        <v>14.466441743766566</v>
      </c>
      <c r="I21" s="70">
        <f>AVERAGE((B21-$B$20)^2, (C21-$C$20)^2)</f>
        <v>18.782372848850009</v>
      </c>
      <c r="J21" s="70">
        <f t="shared" si="7"/>
        <v>4.333863501409569</v>
      </c>
      <c r="K21" s="70">
        <f>AVERAGE((B21-$B$20)^2, (C21-$C$20)^2, (D21-$D$20)^2)</f>
        <v>27.425300062433337</v>
      </c>
      <c r="L21" s="72">
        <f t="shared" si="8"/>
        <v>5.2369170379559513</v>
      </c>
    </row>
    <row r="22" spans="1:13" ht="15.75" thickBot="1" x14ac:dyDescent="0.3">
      <c r="A22" s="61" t="s">
        <v>35</v>
      </c>
      <c r="B22" s="62">
        <v>47.100320000000004</v>
      </c>
      <c r="C22" s="62">
        <v>39.726679999999995</v>
      </c>
      <c r="D22" s="62">
        <v>13.173000000000002</v>
      </c>
      <c r="E22" s="73">
        <f t="shared" si="0"/>
        <v>54.142714151231431</v>
      </c>
      <c r="F22" s="62">
        <f>SQRT(E22)</f>
        <v>7.3581732890189144</v>
      </c>
      <c r="G22" s="62">
        <f>AVERAGE((B22-$B$23)^2, (C22-$C$23)^2, (D22-$D$23)^2)</f>
        <v>82.881118440897239</v>
      </c>
      <c r="H22" s="62">
        <f t="shared" si="6"/>
        <v>9.1039067680253201</v>
      </c>
      <c r="I22" s="62">
        <f>AVERAGE((B22-$B$20)^2, (C22-$C$20)^2)</f>
        <v>1.0868131300000159</v>
      </c>
      <c r="J22" s="62">
        <f t="shared" si="7"/>
        <v>1.0425032997549772</v>
      </c>
      <c r="K22" s="62">
        <f>AVERAGE((B22-$B$20)^2, (C22-$C$20)^2, (D22-$D$20)^2)</f>
        <v>0.76956328670001095</v>
      </c>
      <c r="L22" s="63">
        <f t="shared" si="8"/>
        <v>0.87724756294902917</v>
      </c>
    </row>
    <row r="23" spans="1:13" x14ac:dyDescent="0.25">
      <c r="A23" s="45" t="s">
        <v>25</v>
      </c>
      <c r="B23" s="46">
        <v>57.388958391413581</v>
      </c>
      <c r="C23" s="46">
        <v>41.285316696986655</v>
      </c>
      <c r="D23" s="46">
        <v>1.3257249115997642</v>
      </c>
      <c r="E23" s="18"/>
      <c r="F23" s="18"/>
      <c r="H23" s="18"/>
      <c r="I23" s="46">
        <f>AVERAGE((B23-$B$2)^2, (C23-$C$2)^2)</f>
        <v>49.472922737597408</v>
      </c>
      <c r="J23" s="46">
        <f t="shared" si="7"/>
        <v>7.0336990792610266</v>
      </c>
      <c r="K23" s="46">
        <f>AVERAGE((B23-$B$2)^2, (C23-$C$2)^2, (D23-$D$2)^2)</f>
        <v>70.961998046012226</v>
      </c>
      <c r="L23" s="46">
        <f t="shared" si="8"/>
        <v>8.4238944702561547</v>
      </c>
      <c r="M23" t="s">
        <v>44</v>
      </c>
    </row>
    <row r="24" spans="1:13" x14ac:dyDescent="0.25">
      <c r="I24" s="46">
        <f>AVERAGE((B23-$B$11)^2, (C23-$C$11)^2)</f>
        <v>42.600060369391308</v>
      </c>
      <c r="J24" s="46">
        <f t="shared" ref="J24:J25" si="10">SQRT(I24)</f>
        <v>6.5268721735139952</v>
      </c>
      <c r="K24" s="46">
        <f>AVERAGE((B23-$B$11)^2, (C23-$C$11)^2, (D23-$D$11)^2)</f>
        <v>70.442428409196395</v>
      </c>
      <c r="L24" s="46">
        <f t="shared" ref="L24:L25" si="11">SQRT(K24)</f>
        <v>8.3929987733346181</v>
      </c>
      <c r="M24" t="s">
        <v>36</v>
      </c>
    </row>
    <row r="25" spans="1:13" x14ac:dyDescent="0.25">
      <c r="I25" s="46">
        <f>AVERAGE((B23-$B$20)^2, (C23-$C$20)^2)</f>
        <v>62.011025149774063</v>
      </c>
      <c r="J25" s="46">
        <f t="shared" si="10"/>
        <v>7.8747079406016107</v>
      </c>
      <c r="K25" s="46">
        <f>AVERAGE((B23-$B$11)^2, (C23-$C$11)^2, (D23-$D$11)^2)</f>
        <v>70.442428409196395</v>
      </c>
      <c r="L25" s="46">
        <f t="shared" si="11"/>
        <v>8.3929987733346181</v>
      </c>
      <c r="M25" t="s">
        <v>37</v>
      </c>
    </row>
    <row r="26" spans="1:13" x14ac:dyDescent="0.25">
      <c r="H26" t="s">
        <v>13</v>
      </c>
    </row>
  </sheetData>
  <mergeCells count="1">
    <mergeCell ref="I1:L1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zoomScaleNormal="100" workbookViewId="0">
      <selection activeCell="Q12" sqref="Q12"/>
    </sheetView>
  </sheetViews>
  <sheetFormatPr baseColWidth="10" defaultColWidth="8.7109375" defaultRowHeight="15" x14ac:dyDescent="0.25"/>
  <cols>
    <col min="1" max="1" width="44.140625" customWidth="1"/>
    <col min="2" max="2" width="8.7109375" customWidth="1"/>
    <col min="11" max="11" width="10.5703125" style="18" bestFit="1" customWidth="1"/>
    <col min="12" max="12" width="9.5703125" style="18" bestFit="1" customWidth="1"/>
    <col min="13" max="13" width="13.7109375" style="18" customWidth="1"/>
    <col min="14" max="14" width="14.42578125" style="18" customWidth="1"/>
    <col min="16" max="16" width="14.140625" customWidth="1"/>
  </cols>
  <sheetData>
    <row r="1" spans="1:23" x14ac:dyDescent="0.25">
      <c r="A1" s="1" t="s">
        <v>73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" t="s">
        <v>8</v>
      </c>
      <c r="K1" s="12" t="s">
        <v>77</v>
      </c>
      <c r="L1" s="12" t="s">
        <v>78</v>
      </c>
      <c r="M1" s="12" t="s">
        <v>79</v>
      </c>
      <c r="N1" s="12" t="s">
        <v>80</v>
      </c>
      <c r="P1" s="27"/>
      <c r="Q1" s="27"/>
      <c r="R1" s="27"/>
      <c r="S1" s="27"/>
      <c r="T1" s="27"/>
      <c r="U1" s="27"/>
    </row>
    <row r="2" spans="1:23" x14ac:dyDescent="0.25">
      <c r="A2" s="2" t="s">
        <v>14</v>
      </c>
      <c r="B2" s="2">
        <v>7.1</v>
      </c>
      <c r="C2" s="2">
        <v>23.8</v>
      </c>
      <c r="D2" s="2">
        <v>2.1</v>
      </c>
      <c r="E2" s="2">
        <v>13.6</v>
      </c>
      <c r="F2" s="2">
        <v>26.7</v>
      </c>
      <c r="G2" s="2">
        <v>1.7</v>
      </c>
      <c r="H2" s="2">
        <v>14</v>
      </c>
      <c r="I2" s="2">
        <v>2.9</v>
      </c>
      <c r="J2" s="2">
        <v>8.1</v>
      </c>
      <c r="K2" s="3">
        <f>AVERAGE((B2-$B$13)^2, (C2-$C$13)^2, (D2-$D$13)^2, (E2-$E$13)^2,(F2-$F$13)^2,(G2-$G$13)^2,(H2-$H$13)^2, (I2-$I$13)^2)</f>
        <v>22.888925000000008</v>
      </c>
      <c r="L2" s="3">
        <f>SQRT(K2)</f>
        <v>4.7842371387714477</v>
      </c>
      <c r="M2" s="3">
        <f>AVERAGE((B2-$B$13)^2, (C2-$C$13)^2, (D2-$D$13)^2, (E2-$E$13)^2,(F2-$F$13)^2,(G2-$G$13)^2,(H2-$H$13)^2, (I2-$I$13)^2, (J2-$J$13)^2)</f>
        <v>25.852555555555561</v>
      </c>
      <c r="N2" s="3">
        <f>SQRT(M2)</f>
        <v>5.0845408401895602</v>
      </c>
      <c r="P2" s="27"/>
      <c r="Q2" s="27"/>
      <c r="R2" s="27"/>
      <c r="S2" s="27"/>
      <c r="T2" s="27"/>
      <c r="U2" s="27"/>
    </row>
    <row r="3" spans="1:23" s="7" customFormat="1" x14ac:dyDescent="0.25">
      <c r="A3" s="20" t="s">
        <v>15</v>
      </c>
      <c r="B3" s="20">
        <v>15.2</v>
      </c>
      <c r="C3" s="20">
        <v>12.8</v>
      </c>
      <c r="D3" s="20">
        <v>13.8</v>
      </c>
      <c r="E3" s="20">
        <v>2.6</v>
      </c>
      <c r="F3" s="20">
        <v>21.8</v>
      </c>
      <c r="G3" s="20">
        <v>1.9</v>
      </c>
      <c r="H3" s="20">
        <v>16.2</v>
      </c>
      <c r="I3" s="20">
        <v>6.7</v>
      </c>
      <c r="J3" s="20">
        <v>9</v>
      </c>
      <c r="K3" s="21">
        <f>AVERAGE((B3-$B$13)^2, (C3-$C$13)^2, (D3-$D$13)^2, (E3-$E$13)^2,(F3-$F$13)^2,(G3-$G$13)^2,(H3-$H$13)^2, (I3-$I$13)^2)</f>
        <v>69.338925000000017</v>
      </c>
      <c r="L3" s="22">
        <f t="shared" ref="L3:L12" si="0">SQRT(K3)</f>
        <v>8.3269997598174594</v>
      </c>
      <c r="M3" s="21">
        <f>AVERAGE((B3-$B$13)^2, (C3-$C$13)^2, (D3-$D$13)^2, (E3-$E$13)^2,(F3-$F$13)^2,(G3-$G$13)^2,(H3-$H$13)^2, (I3-$I$13)^2, (J3-$J$13)^2)</f>
        <v>68.63944444444445</v>
      </c>
      <c r="N3" s="22">
        <f t="shared" ref="N3:N40" si="1">SQRT(M3)</f>
        <v>8.2848925427216287</v>
      </c>
      <c r="P3" s="30"/>
      <c r="Q3" s="30"/>
      <c r="R3" s="30"/>
      <c r="S3" s="30"/>
      <c r="T3" s="30"/>
      <c r="U3" s="30"/>
    </row>
    <row r="4" spans="1:23" x14ac:dyDescent="0.25">
      <c r="A4" s="4" t="s">
        <v>16</v>
      </c>
      <c r="B4" s="5">
        <v>14.3</v>
      </c>
      <c r="C4" s="5">
        <v>13.9</v>
      </c>
      <c r="D4" s="5">
        <v>15.4</v>
      </c>
      <c r="E4" s="5">
        <v>2.8</v>
      </c>
      <c r="F4" s="5">
        <v>17.399999999999999</v>
      </c>
      <c r="G4" s="5">
        <v>1.5</v>
      </c>
      <c r="H4" s="5">
        <v>15.2</v>
      </c>
      <c r="I4" s="5">
        <v>6.7</v>
      </c>
      <c r="J4" s="5">
        <v>12.7</v>
      </c>
      <c r="K4" s="10">
        <f>AVERAGE((B4-$B$13)^2, (C4-$C$13)^2, (D4-$D$13)^2, (E4-$E$13)^2,(F4-$F$13)^2,(G4-$G$13)^2,(H4-$H$13)^2, (I4-$I$13)^2)</f>
        <v>75.378425000000021</v>
      </c>
      <c r="L4" s="6">
        <f t="shared" si="0"/>
        <v>8.6820749248091627</v>
      </c>
      <c r="M4" s="10">
        <f>AVERAGE((B4-$B$13)^2, (C4-$C$13)^2, (D4-$D$13)^2, (E4-$E$13)^2,(F4-$F$13)^2,(G4-$G$13)^2,(H4-$H$13)^2, (I4-$I$13)^2, (J4-$J$13)^2)</f>
        <v>82.057444444444457</v>
      </c>
      <c r="N4" s="6">
        <f t="shared" si="1"/>
        <v>9.0585564216625851</v>
      </c>
      <c r="P4" s="27" t="s">
        <v>13</v>
      </c>
      <c r="Q4" s="27"/>
      <c r="R4" s="27"/>
      <c r="S4" s="27"/>
      <c r="T4" s="27"/>
      <c r="U4" s="27"/>
    </row>
    <row r="5" spans="1:23" x14ac:dyDescent="0.25">
      <c r="A5" s="5" t="s">
        <v>17</v>
      </c>
      <c r="B5" s="5">
        <v>10.199999999999999</v>
      </c>
      <c r="C5" s="5">
        <v>12.5</v>
      </c>
      <c r="D5" s="5">
        <v>7.9</v>
      </c>
      <c r="E5" s="5">
        <v>3.9</v>
      </c>
      <c r="F5" s="5">
        <v>20.3</v>
      </c>
      <c r="G5" s="5">
        <v>3.9</v>
      </c>
      <c r="H5" s="5">
        <v>27.9</v>
      </c>
      <c r="I5" s="5">
        <v>2.7</v>
      </c>
      <c r="J5" s="5">
        <v>10.6</v>
      </c>
      <c r="K5" s="10">
        <f>AVERAGE((B5-$B$13)^2, (C5-$C$13)^2, (D5-$D$13)^2, (E5-$E$13)^2,(F5-$F$13)^2,(G5-$G$13)^2,(H5-$H$13)^2, (I5-$I$13)^2)</f>
        <v>88.265425000000008</v>
      </c>
      <c r="L5" s="6">
        <f t="shared" si="0"/>
        <v>9.394968068067076</v>
      </c>
      <c r="M5" s="10">
        <f>AVERAGE((B5-$B$13)^2, (C5-$C$13)^2, (D5-$D$13)^2, (E5-$E$13)^2,(F5-$F$13)^2,(G5-$G$13)^2,(H5-$H$13)^2, (I5-$I$13)^2, (J5-$J$13)^2)</f>
        <v>88.570555555555558</v>
      </c>
      <c r="N5" s="6">
        <f t="shared" si="1"/>
        <v>9.4111930994723281</v>
      </c>
      <c r="P5" s="27"/>
      <c r="Q5" s="27"/>
      <c r="R5" s="27"/>
      <c r="S5" s="27"/>
      <c r="T5" s="27"/>
      <c r="U5" s="27"/>
    </row>
    <row r="6" spans="1:23" x14ac:dyDescent="0.25">
      <c r="A6" s="4" t="s">
        <v>18</v>
      </c>
      <c r="B6" s="5">
        <v>10</v>
      </c>
      <c r="C6" s="5">
        <v>12.6</v>
      </c>
      <c r="D6" s="5">
        <v>7.8</v>
      </c>
      <c r="E6" s="5">
        <v>3.7</v>
      </c>
      <c r="F6" s="5">
        <v>20.5</v>
      </c>
      <c r="G6" s="5">
        <v>3.7</v>
      </c>
      <c r="H6" s="5">
        <v>29.2</v>
      </c>
      <c r="I6" s="5">
        <v>2.6</v>
      </c>
      <c r="J6" s="5">
        <v>10</v>
      </c>
      <c r="K6" s="10">
        <f>AVERAGE((B6-$B$13)^2, (C6-$C$13)^2, (D6-$D$13)^2, (E6-$E$13)^2,(F6-$F$13)^2,(G6-$G$13)^2,(H6-$H$13)^2, (I6-$I$13)^2)</f>
        <v>93.590675000000019</v>
      </c>
      <c r="L6" s="6">
        <f t="shared" si="0"/>
        <v>9.6742273593295298</v>
      </c>
      <c r="M6" s="10">
        <f>AVERAGE((B6-$B$13)^2, (C6-$C$13)^2, (D6-$D$13)^2, (E6-$E$13)^2,(F6-$F$13)^2,(G6-$G$13)^2,(H6-$H$13)^2, (I6-$I$13)^2, (J6-$J$13)^2)</f>
        <v>92.072111111111127</v>
      </c>
      <c r="N6" s="6">
        <f t="shared" si="1"/>
        <v>9.5954213618324822</v>
      </c>
      <c r="P6" s="27"/>
      <c r="Q6" s="27"/>
      <c r="R6" s="27"/>
      <c r="S6" s="27"/>
      <c r="T6" s="27"/>
      <c r="U6" s="27"/>
    </row>
    <row r="7" spans="1:23" x14ac:dyDescent="0.25">
      <c r="A7" s="4" t="s">
        <v>19</v>
      </c>
      <c r="B7" s="5">
        <v>22.2</v>
      </c>
      <c r="C7" s="5">
        <v>11.1</v>
      </c>
      <c r="D7" s="5">
        <v>0</v>
      </c>
      <c r="E7" s="5">
        <v>0</v>
      </c>
      <c r="F7" s="5">
        <v>33.299999999999997</v>
      </c>
      <c r="G7" s="5">
        <v>0</v>
      </c>
      <c r="H7" s="5">
        <v>11.1</v>
      </c>
      <c r="I7" s="5">
        <v>0</v>
      </c>
      <c r="J7" s="5">
        <v>22.2</v>
      </c>
      <c r="K7" s="10">
        <f>AVERAGE((B7-$B$13)^2, (C7-$C$13)^2, (D7-$D$13)^2, (E7-$E$13)^2,(F7-$F$13)^2,(G7-$G$13)^2,(H7-$H$13)^2, (I7-$I$13)^2)</f>
        <v>67.735424999999992</v>
      </c>
      <c r="L7" s="6">
        <f t="shared" si="0"/>
        <v>8.2301534007574855</v>
      </c>
      <c r="M7" s="10">
        <f>AVERAGE((B7-$B$13)^2, (C7-$C$13)^2, (D7-$D$13)^2, (E7-$E$13)^2,(F7-$F$13)^2,(G7-$G$13)^2,(H7-$H$13)^2, (I7-$I$13)^2, (J7-$J$13)^2)</f>
        <v>109.86477777777776</v>
      </c>
      <c r="N7" s="6">
        <f t="shared" si="1"/>
        <v>10.481640032827771</v>
      </c>
      <c r="P7" s="27"/>
      <c r="Q7" s="27"/>
      <c r="R7" s="27"/>
      <c r="S7" s="27"/>
      <c r="T7" s="27"/>
      <c r="U7" s="27"/>
    </row>
    <row r="8" spans="1:23" x14ac:dyDescent="0.25">
      <c r="A8" s="4" t="s">
        <v>20</v>
      </c>
      <c r="B8" s="5">
        <v>22.2</v>
      </c>
      <c r="C8" s="5">
        <v>11.1</v>
      </c>
      <c r="D8" s="5">
        <v>0</v>
      </c>
      <c r="E8" s="5">
        <v>0</v>
      </c>
      <c r="F8" s="5">
        <v>33.299999999999997</v>
      </c>
      <c r="G8" s="5">
        <v>0.1</v>
      </c>
      <c r="H8" s="5">
        <v>11.1</v>
      </c>
      <c r="I8" s="5">
        <v>0</v>
      </c>
      <c r="J8" s="5">
        <v>22.2</v>
      </c>
      <c r="K8" s="10">
        <f>AVERAGE((B8-$B$13)^2, (C8-$C$13)^2, (D8-$D$13)^2, (E8-$E$13)^2,(F8-$F$13)^2,(G8-$G$13)^2,(H8-$H$13)^2, (I8-$I$13)^2)</f>
        <v>67.720174999999983</v>
      </c>
      <c r="L8" s="6">
        <f t="shared" si="0"/>
        <v>8.2292268774168562</v>
      </c>
      <c r="M8" s="10">
        <f>AVERAGE((B8-$B$13)^2, (C8-$C$13)^2, (D8-$D$13)^2, (E8-$E$13)^2,(F8-$F$13)^2,(G8-$G$13)^2,(H8-$H$13)^2, (I8-$I$13)^2, (J8-$J$13)^2)</f>
        <v>109.85122222222221</v>
      </c>
      <c r="N8" s="6">
        <f t="shared" si="1"/>
        <v>10.480993379552446</v>
      </c>
      <c r="P8" s="27"/>
      <c r="Q8" s="27"/>
      <c r="R8" s="27"/>
      <c r="S8" s="27"/>
      <c r="T8" s="27"/>
      <c r="U8" s="27"/>
    </row>
    <row r="9" spans="1:23" s="7" customFormat="1" x14ac:dyDescent="0.25">
      <c r="A9" s="8" t="s">
        <v>21</v>
      </c>
      <c r="B9" s="8">
        <v>20.399999999999999</v>
      </c>
      <c r="C9" s="8">
        <v>11.7</v>
      </c>
      <c r="D9" s="8">
        <v>7.5</v>
      </c>
      <c r="E9" s="8">
        <v>0.9</v>
      </c>
      <c r="F9" s="8">
        <v>26.9</v>
      </c>
      <c r="G9" s="8">
        <v>0.1</v>
      </c>
      <c r="H9" s="8">
        <v>19.600000000000001</v>
      </c>
      <c r="I9" s="8">
        <v>6</v>
      </c>
      <c r="J9" s="26">
        <v>6.9</v>
      </c>
      <c r="K9" s="11">
        <f>AVERAGE((B9-$B$13)^2, (C9-$C$13)^2, (D9-$D$13)^2, (E9-$E$13)^2,(F9-$F$13)^2,(G9-$G$13)^2,(H9-$H$13)^2, (I9-$I$13)^2)</f>
        <v>65.296425000000013</v>
      </c>
      <c r="L9" s="17">
        <f t="shared" si="0"/>
        <v>8.0806203350980432</v>
      </c>
      <c r="M9" s="11">
        <f>AVERAGE((B9-$B$13)^2, (C9-$C$13)^2, (D9-$D$13)^2, (E9-$E$13)^2,(F9-$F$13)^2,(G9-$G$13)^2,(H9-$H$13)^2, (I9-$I$13)^2, (J9-$J$13)^2)</f>
        <v>61.83077777777779</v>
      </c>
      <c r="N9" s="17">
        <f t="shared" si="1"/>
        <v>7.8632549098816442</v>
      </c>
      <c r="P9" s="27"/>
      <c r="Q9" s="27"/>
      <c r="R9" s="27"/>
      <c r="S9" s="27"/>
      <c r="T9" s="27"/>
      <c r="U9" s="27"/>
      <c r="V9"/>
      <c r="W9"/>
    </row>
    <row r="10" spans="1:23" x14ac:dyDescent="0.25">
      <c r="A10" s="14" t="s">
        <v>22</v>
      </c>
      <c r="B10" s="14">
        <v>14.4</v>
      </c>
      <c r="C10" s="14">
        <v>14.1</v>
      </c>
      <c r="D10" s="14">
        <v>6</v>
      </c>
      <c r="E10" s="14">
        <v>0.6</v>
      </c>
      <c r="F10" s="14">
        <v>23.6</v>
      </c>
      <c r="G10" s="14">
        <v>2.6</v>
      </c>
      <c r="H10" s="14">
        <v>24.9</v>
      </c>
      <c r="I10" s="14">
        <v>3.8</v>
      </c>
      <c r="J10" s="14">
        <v>10</v>
      </c>
      <c r="K10" s="24">
        <f>AVERAGE((B10-$B$13)^2, (C10-$C$13)^2, (D10-$D$13)^2, (E10-$E$13)^2,(F10-$F$13)^2,(G10-$G$13)^2,(H10-$H$13)^2, (I10-$I$13)^2)</f>
        <v>69.603175000000007</v>
      </c>
      <c r="L10" s="25">
        <f t="shared" si="0"/>
        <v>8.3428517306733916</v>
      </c>
      <c r="M10" s="24">
        <f>AVERAGE((B10-$B$13)^2, (C10-$C$13)^2, (D10-$D$13)^2, (E10-$E$13)^2,(F10-$F$13)^2,(G10-$G$13)^2,(H10-$H$13)^2, (I10-$I$13)^2, (J10-$J$13)^2)</f>
        <v>70.74988888888889</v>
      </c>
      <c r="N10" s="25">
        <f t="shared" si="1"/>
        <v>8.411295315757787</v>
      </c>
      <c r="P10" s="27"/>
      <c r="Q10" s="27"/>
      <c r="R10" s="27"/>
      <c r="S10" s="27"/>
      <c r="T10" s="27"/>
      <c r="U10" s="27"/>
    </row>
    <row r="11" spans="1:23" s="7" customFormat="1" x14ac:dyDescent="0.25">
      <c r="A11" s="15" t="s">
        <v>23</v>
      </c>
      <c r="B11" s="15">
        <v>13.7</v>
      </c>
      <c r="C11" s="15">
        <v>10.7</v>
      </c>
      <c r="D11" s="15">
        <v>6.2</v>
      </c>
      <c r="E11" s="15">
        <v>0.9</v>
      </c>
      <c r="F11" s="15">
        <v>22.7</v>
      </c>
      <c r="G11" s="15">
        <v>0.3</v>
      </c>
      <c r="H11" s="15">
        <v>29.8</v>
      </c>
      <c r="I11" s="15">
        <v>3.8</v>
      </c>
      <c r="J11" s="15">
        <v>12</v>
      </c>
      <c r="K11" s="16">
        <f>AVERAGE((B11-$B$13)^2, (C11-$C$13)^2, (D11-$D$13)^2, (E11-$E$13)^2,(F11-$F$13)^2,(G11-$G$13)^2,(H11-$H$13)^2, (I11-$I$13)^2)</f>
        <v>100.09117500000001</v>
      </c>
      <c r="L11" s="16">
        <f t="shared" si="0"/>
        <v>10.004557711363356</v>
      </c>
      <c r="M11" s="16">
        <f>AVERAGE((B11-$B$13)^2, (C11-$C$13)^2, (D11-$D$13)^2, (E11-$E$13)^2,(F11-$F$13)^2,(G11-$G$13)^2,(H11-$H$13)^2, (I11-$I$13)^2, (J11-$J$13)^2)</f>
        <v>102.26811111111111</v>
      </c>
      <c r="N11" s="16">
        <f t="shared" si="1"/>
        <v>10.112769705234621</v>
      </c>
      <c r="P11" s="27"/>
      <c r="Q11" s="27"/>
      <c r="R11" s="27"/>
      <c r="S11" s="27"/>
      <c r="T11" s="27"/>
      <c r="U11" s="27"/>
      <c r="V11"/>
      <c r="W11"/>
    </row>
    <row r="12" spans="1:23" s="7" customFormat="1" x14ac:dyDescent="0.25">
      <c r="A12" s="13" t="s">
        <v>24</v>
      </c>
      <c r="B12" s="13">
        <v>16.5</v>
      </c>
      <c r="C12" s="13">
        <v>17.600000000000001</v>
      </c>
      <c r="D12" s="13">
        <v>8.1</v>
      </c>
      <c r="E12" s="13">
        <v>1.7</v>
      </c>
      <c r="F12" s="13">
        <v>24.3</v>
      </c>
      <c r="G12" s="13">
        <v>2.2000000000000002</v>
      </c>
      <c r="H12" s="13">
        <v>18.2</v>
      </c>
      <c r="I12" s="13">
        <v>1.9</v>
      </c>
      <c r="J12" s="13">
        <v>9.5</v>
      </c>
      <c r="K12" s="23">
        <f>AVERAGE((B12-$B$13)^2, (C12-$C$13)^2, (D12-$D$13)^2, (E12-$E$13)^2,(F12-$F$13)^2,(G12-$G$13)^2,(H12-$H$13)^2, (I12-$I$13)^2)</f>
        <v>41.145924999999998</v>
      </c>
      <c r="L12" s="23">
        <f t="shared" si="0"/>
        <v>6.4145089445724528</v>
      </c>
      <c r="M12" s="23">
        <f>AVERAGE((B12-$B$13)^2, (C12-$C$13)^2, (D12-$D$13)^2, (E12-$E$13)^2,(F12-$F$13)^2,(G12-$G$13)^2,(H12-$H$13)^2, (I12-$I$13)^2, (J12-$J$13)^2)</f>
        <v>44.488999999999997</v>
      </c>
      <c r="N12" s="23">
        <f t="shared" si="1"/>
        <v>6.6700074962476616</v>
      </c>
      <c r="P12" s="27"/>
      <c r="Q12" s="27"/>
      <c r="R12" s="27"/>
      <c r="S12" s="27"/>
      <c r="T12" s="27"/>
      <c r="U12" s="27"/>
      <c r="V12"/>
      <c r="W12"/>
    </row>
    <row r="13" spans="1:23" x14ac:dyDescent="0.25">
      <c r="A13" s="9" t="s">
        <v>25</v>
      </c>
      <c r="B13" s="9">
        <v>19.71</v>
      </c>
      <c r="C13" s="9">
        <v>26.85</v>
      </c>
      <c r="D13" s="9">
        <v>1.2</v>
      </c>
      <c r="E13" s="9">
        <v>13.94</v>
      </c>
      <c r="F13" s="9">
        <v>23.92</v>
      </c>
      <c r="G13" s="9">
        <v>0.66</v>
      </c>
      <c r="H13" s="9">
        <v>12.46</v>
      </c>
      <c r="I13" s="9">
        <v>1.26</v>
      </c>
      <c r="J13" s="9">
        <v>1.06</v>
      </c>
    </row>
    <row r="14" spans="1:23" x14ac:dyDescent="0.25">
      <c r="B14" t="s">
        <v>13</v>
      </c>
    </row>
    <row r="15" spans="1:23" x14ac:dyDescent="0.25">
      <c r="A15" s="1" t="s">
        <v>74</v>
      </c>
      <c r="B15" s="12" t="s">
        <v>0</v>
      </c>
      <c r="C15" s="12" t="s">
        <v>1</v>
      </c>
      <c r="D15" s="12" t="s">
        <v>2</v>
      </c>
      <c r="E15" s="12" t="s">
        <v>3</v>
      </c>
      <c r="F15" s="12" t="s">
        <v>4</v>
      </c>
      <c r="G15" s="12" t="s">
        <v>5</v>
      </c>
      <c r="H15" s="12" t="s">
        <v>6</v>
      </c>
      <c r="I15" s="12" t="s">
        <v>7</v>
      </c>
      <c r="J15" s="1" t="s">
        <v>8</v>
      </c>
      <c r="K15" s="12" t="s">
        <v>77</v>
      </c>
      <c r="L15" s="12" t="s">
        <v>78</v>
      </c>
      <c r="M15" s="12" t="s">
        <v>79</v>
      </c>
      <c r="N15" s="12" t="s">
        <v>80</v>
      </c>
    </row>
    <row r="16" spans="1:23" x14ac:dyDescent="0.25">
      <c r="A16" s="2" t="s">
        <v>26</v>
      </c>
      <c r="B16" s="2">
        <v>7</v>
      </c>
      <c r="C16" s="2">
        <v>23.3</v>
      </c>
      <c r="D16" s="2">
        <v>3.5</v>
      </c>
      <c r="E16" s="2">
        <v>13.3</v>
      </c>
      <c r="F16" s="2">
        <v>27</v>
      </c>
      <c r="G16" s="2">
        <v>1.9</v>
      </c>
      <c r="H16" s="2">
        <v>12.6</v>
      </c>
      <c r="I16" s="2">
        <v>2.9</v>
      </c>
      <c r="J16" s="2">
        <v>8.5</v>
      </c>
      <c r="K16" s="3">
        <f>AVERAGE((B16-$B$13)^2, (C16-$C$13)^2, (D16-$D$13)^2, (E16-$E$13)^2,(F16-$F$13)^2,(G16-$G$13)^2,(H16-$H$13)^2, (I16-$I$13)^2)</f>
        <v>24.197425000000003</v>
      </c>
      <c r="L16" s="3">
        <f>SQRT(K16)</f>
        <v>4.9190878219442276</v>
      </c>
      <c r="M16" s="3">
        <f>AVERAGE((B16-$B$13)^2, (C16-$C$13)^2, (D16-$D$13)^2, (E16-$E$13)^2,(F16-$F$13)^2,(G16-$G$13)^2,(H16-$H$13)^2, (I16-$I$13)^2, (J16-$J$13)^2)</f>
        <v>27.659222222222226</v>
      </c>
      <c r="N16" s="3">
        <f t="shared" si="1"/>
        <v>5.2592035729967925</v>
      </c>
    </row>
    <row r="17" spans="1:15" s="7" customFormat="1" x14ac:dyDescent="0.25">
      <c r="A17" s="20" t="s">
        <v>15</v>
      </c>
      <c r="B17" s="20">
        <v>15.2</v>
      </c>
      <c r="C17" s="20">
        <v>12.7</v>
      </c>
      <c r="D17" s="20">
        <v>14.1</v>
      </c>
      <c r="E17" s="20">
        <v>2.7</v>
      </c>
      <c r="F17" s="20">
        <v>21.6</v>
      </c>
      <c r="G17" s="20">
        <v>1.8</v>
      </c>
      <c r="H17" s="20">
        <v>16.2</v>
      </c>
      <c r="I17" s="20">
        <v>6.7</v>
      </c>
      <c r="J17" s="20">
        <v>8.8000000000000007</v>
      </c>
      <c r="K17" s="21">
        <f>AVERAGE((B17-$B$13)^2, (C17-$C$13)^2, (D17-$D$13)^2, (E17-$E$13)^2,(F17-$F$13)^2,(G17-$G$13)^2,(H17-$H$13)^2, (I17-$I$13)^2)</f>
        <v>70.446675000000013</v>
      </c>
      <c r="L17" s="22">
        <f t="shared" ref="L17:L26" si="2">SQRT(K17)</f>
        <v>8.3932517536411364</v>
      </c>
      <c r="M17" s="21">
        <f>AVERAGE((B17-$B$13)^2, (C17-$C$13)^2, (D17-$D$13)^2, (E17-$E$13)^2,(F17-$F$13)^2,(G17-$G$13)^2,(H17-$H$13)^2, (I17-$I$13)^2, (J17-$J$13)^2)</f>
        <v>69.27566666666668</v>
      </c>
      <c r="N17" s="22">
        <f t="shared" si="1"/>
        <v>8.3232005062155441</v>
      </c>
    </row>
    <row r="18" spans="1:15" x14ac:dyDescent="0.25">
      <c r="A18" s="4" t="s">
        <v>16</v>
      </c>
      <c r="B18" s="5">
        <v>14.3</v>
      </c>
      <c r="C18" s="5">
        <v>13.9</v>
      </c>
      <c r="D18" s="5">
        <v>15.5</v>
      </c>
      <c r="E18" s="5">
        <v>2.9</v>
      </c>
      <c r="F18" s="5">
        <v>17.399999999999999</v>
      </c>
      <c r="G18" s="5">
        <v>1.5</v>
      </c>
      <c r="H18" s="5">
        <v>15.3</v>
      </c>
      <c r="I18" s="5">
        <v>6.7</v>
      </c>
      <c r="J18" s="5">
        <v>12.6</v>
      </c>
      <c r="K18" s="10">
        <f>AVERAGE((B18-$B$13)^2, (C18-$C$13)^2, (D18-$D$13)^2, (E18-$E$13)^2,(F18-$F$13)^2,(G18-$G$13)^2,(H18-$H$13)^2, (I18-$I$13)^2)</f>
        <v>75.527175</v>
      </c>
      <c r="L18" s="6">
        <f t="shared" si="2"/>
        <v>8.6906372033355535</v>
      </c>
      <c r="M18" s="10">
        <f>AVERAGE((B18-$B$13)^2, (C18-$C$13)^2, (D18-$D$13)^2, (E18-$E$13)^2,(F18-$F$13)^2,(G18-$G$13)^2,(H18-$H$13)^2, (I18-$I$13)^2, (J18-$J$13)^2)</f>
        <v>81.932111111111112</v>
      </c>
      <c r="N18" s="6">
        <f t="shared" si="1"/>
        <v>9.0516358251484643</v>
      </c>
    </row>
    <row r="19" spans="1:15" x14ac:dyDescent="0.25">
      <c r="A19" s="5" t="s">
        <v>17</v>
      </c>
      <c r="B19" s="5">
        <v>10.199999999999999</v>
      </c>
      <c r="C19" s="5">
        <v>12.6</v>
      </c>
      <c r="D19" s="5">
        <v>8</v>
      </c>
      <c r="E19" s="5">
        <v>3.9</v>
      </c>
      <c r="F19" s="5">
        <v>20.3</v>
      </c>
      <c r="G19" s="5">
        <v>3.9</v>
      </c>
      <c r="H19" s="5">
        <v>28</v>
      </c>
      <c r="I19" s="5">
        <v>2.7</v>
      </c>
      <c r="J19" s="5">
        <v>10.5</v>
      </c>
      <c r="K19" s="10">
        <f>AVERAGE((B19-$B$13)^2, (C19-$C$13)^2, (D19-$D$13)^2, (E19-$E$13)^2,(F19-$F$13)^2,(G19-$G$13)^2,(H19-$H$13)^2, (I19-$I$13)^2)</f>
        <v>88.463925000000003</v>
      </c>
      <c r="L19" s="6">
        <f t="shared" si="2"/>
        <v>9.405526301063647</v>
      </c>
      <c r="M19" s="10">
        <f>AVERAGE((B19-$B$13)^2, (C19-$C$13)^2, (D19-$D$13)^2, (E19-$E$13)^2,(F19-$F$13)^2,(G19-$G$13)^2,(H19-$H$13)^2, (I19-$I$13)^2, (J19-$J$13)^2)</f>
        <v>88.536111111111111</v>
      </c>
      <c r="N19" s="6">
        <f t="shared" si="1"/>
        <v>9.4093629492708537</v>
      </c>
    </row>
    <row r="20" spans="1:15" x14ac:dyDescent="0.25">
      <c r="A20" s="4" t="s">
        <v>18</v>
      </c>
      <c r="B20" s="5">
        <v>10</v>
      </c>
      <c r="C20" s="5">
        <v>12.7</v>
      </c>
      <c r="D20" s="5">
        <v>7.8</v>
      </c>
      <c r="E20" s="5">
        <v>3.7</v>
      </c>
      <c r="F20" s="5">
        <v>20.399999999999999</v>
      </c>
      <c r="G20" s="5">
        <v>3.7</v>
      </c>
      <c r="H20" s="5">
        <v>29.2</v>
      </c>
      <c r="I20" s="5">
        <v>2.7</v>
      </c>
      <c r="J20" s="5">
        <v>9.9</v>
      </c>
      <c r="K20" s="10">
        <f>AVERAGE((B20-$B$13)^2, (C20-$C$13)^2, (D20-$D$13)^2, (E20-$E$13)^2,(F20-$F$13)^2,(G20-$G$13)^2,(H20-$H$13)^2, (I20-$I$13)^2)</f>
        <v>93.357174999999998</v>
      </c>
      <c r="L20" s="6">
        <f t="shared" si="2"/>
        <v>9.6621516754809846</v>
      </c>
      <c r="M20" s="10">
        <f>AVERAGE((B20-$B$13)^2, (C20-$C$13)^2, (D20-$D$13)^2, (E20-$E$13)^2,(F20-$F$13)^2,(G20-$G$13)^2,(H20-$H$13)^2, (I20-$I$13)^2, (J20-$J$13)^2)</f>
        <v>91.666999999999987</v>
      </c>
      <c r="N20" s="6">
        <f t="shared" si="1"/>
        <v>9.5742884853131507</v>
      </c>
    </row>
    <row r="21" spans="1:15" x14ac:dyDescent="0.25">
      <c r="A21" s="4" t="s">
        <v>19</v>
      </c>
      <c r="B21" s="5">
        <v>22.2</v>
      </c>
      <c r="C21" s="5">
        <v>11.1</v>
      </c>
      <c r="D21" s="5">
        <v>0</v>
      </c>
      <c r="E21" s="5">
        <v>0</v>
      </c>
      <c r="F21" s="5">
        <v>33.299999999999997</v>
      </c>
      <c r="G21" s="5">
        <v>0</v>
      </c>
      <c r="H21" s="5">
        <v>11.1</v>
      </c>
      <c r="I21" s="5">
        <v>0</v>
      </c>
      <c r="J21" s="5">
        <v>22.2</v>
      </c>
      <c r="K21" s="10">
        <f>AVERAGE((B21-$B$13)^2, (C21-$C$13)^2, (D21-$D$13)^2, (E21-$E$13)^2,(F21-$F$13)^2,(G21-$G$13)^2,(H21-$H$13)^2, (I21-$I$13)^2)</f>
        <v>67.735424999999992</v>
      </c>
      <c r="L21" s="6">
        <f t="shared" si="2"/>
        <v>8.2301534007574855</v>
      </c>
      <c r="M21" s="10">
        <f>AVERAGE((B21-$B$13)^2, (C21-$C$13)^2, (D21-$D$13)^2, (E21-$E$13)^2,(F21-$F$13)^2,(G21-$G$13)^2,(H21-$H$13)^2, (I21-$I$13)^2, (J21-$J$13)^2)</f>
        <v>109.86477777777776</v>
      </c>
      <c r="N21" s="6">
        <f t="shared" si="1"/>
        <v>10.481640032827771</v>
      </c>
    </row>
    <row r="22" spans="1:15" s="7" customFormat="1" x14ac:dyDescent="0.25">
      <c r="A22" s="19" t="s">
        <v>20</v>
      </c>
      <c r="B22" s="20">
        <v>22.2</v>
      </c>
      <c r="C22" s="20">
        <v>11.1</v>
      </c>
      <c r="D22" s="20">
        <v>0</v>
      </c>
      <c r="E22" s="20">
        <v>0</v>
      </c>
      <c r="F22" s="20">
        <v>33.299999999999997</v>
      </c>
      <c r="G22" s="20">
        <v>0.1</v>
      </c>
      <c r="H22" s="20">
        <v>11.1</v>
      </c>
      <c r="I22" s="20">
        <v>0</v>
      </c>
      <c r="J22" s="20">
        <v>22.2</v>
      </c>
      <c r="K22" s="21">
        <f>AVERAGE((B22-$B$13)^2, (C22-$C$13)^2, (D22-$D$13)^2, (E22-$E$13)^2,(F22-$F$13)^2,(G22-$G$13)^2,(H22-$H$13)^2, (I22-$I$13)^2)</f>
        <v>67.720174999999983</v>
      </c>
      <c r="L22" s="22">
        <f t="shared" si="2"/>
        <v>8.2292268774168562</v>
      </c>
      <c r="M22" s="21">
        <f>AVERAGE((B22-$B$13)^2, (C22-$C$13)^2, (D22-$D$13)^2, (E22-$E$13)^2,(F22-$F$13)^2,(G22-$G$13)^2,(H22-$H$13)^2, (I22-$I$13)^2, (J22-$J$13)^2)</f>
        <v>109.85122222222221</v>
      </c>
      <c r="N22" s="22">
        <f t="shared" si="1"/>
        <v>10.480993379552446</v>
      </c>
    </row>
    <row r="23" spans="1:15" s="7" customFormat="1" x14ac:dyDescent="0.25">
      <c r="A23" s="8" t="s">
        <v>21</v>
      </c>
      <c r="B23" s="8">
        <v>20.3</v>
      </c>
      <c r="C23" s="8">
        <v>11.8</v>
      </c>
      <c r="D23" s="8">
        <v>7.5</v>
      </c>
      <c r="E23" s="8">
        <v>0.9</v>
      </c>
      <c r="F23" s="8">
        <v>26.8</v>
      </c>
      <c r="G23" s="8">
        <v>0.1</v>
      </c>
      <c r="H23" s="8">
        <v>19.8</v>
      </c>
      <c r="I23" s="8">
        <v>6</v>
      </c>
      <c r="J23" s="26">
        <v>6.9</v>
      </c>
      <c r="K23" s="11">
        <f>AVERAGE((B23-$B$13)^2, (C23-$C$13)^2, (D23-$D$13)^2, (E23-$E$13)^2,(F23-$F$13)^2,(G23-$G$13)^2,(H23-$H$13)^2, (I23-$I$13)^2)</f>
        <v>65.191675000000004</v>
      </c>
      <c r="L23" s="17">
        <f t="shared" si="2"/>
        <v>8.0741361767064603</v>
      </c>
      <c r="M23" s="11">
        <f>AVERAGE((B23-$B$13)^2, (C23-$C$13)^2, (D23-$D$13)^2, (E23-$E$13)^2,(F23-$F$13)^2,(G23-$G$13)^2,(H23-$H$13)^2, (I23-$I$13)^2, (J23-$J$13)^2)</f>
        <v>61.737666666666669</v>
      </c>
      <c r="N23" s="17">
        <f t="shared" si="1"/>
        <v>7.8573320323546634</v>
      </c>
    </row>
    <row r="24" spans="1:15" x14ac:dyDescent="0.25">
      <c r="A24" s="14" t="s">
        <v>22</v>
      </c>
      <c r="B24" s="14">
        <v>13.9</v>
      </c>
      <c r="C24" s="14">
        <v>14.4</v>
      </c>
      <c r="D24" s="14">
        <v>5.9</v>
      </c>
      <c r="E24" s="14">
        <v>0.7</v>
      </c>
      <c r="F24" s="14">
        <v>23.6</v>
      </c>
      <c r="G24" s="14">
        <v>2.6</v>
      </c>
      <c r="H24" s="14">
        <v>25.1</v>
      </c>
      <c r="I24" s="14">
        <v>3.8</v>
      </c>
      <c r="J24" s="14">
        <v>9.9</v>
      </c>
      <c r="K24" s="24">
        <f>AVERAGE((B24-$B$13)^2, (C24-$C$13)^2, (D24-$D$13)^2, (E24-$E$13)^2,(F24-$F$13)^2,(G24-$G$13)^2,(H24-$H$13)^2, (I24-$I$13)^2)</f>
        <v>69.529174999999995</v>
      </c>
      <c r="L24" s="25">
        <f t="shared" si="2"/>
        <v>8.3384156168902965</v>
      </c>
      <c r="M24" s="24">
        <f>AVERAGE((B24-$B$13)^2, (C24-$C$13)^2, (D24-$D$13)^2, (E24-$E$13)^2,(F24-$F$13)^2,(G24-$G$13)^2,(H24-$H$13)^2, (I24-$I$13)^2, (J24-$J$13)^2)</f>
        <v>70.48655555555554</v>
      </c>
      <c r="N24" s="25">
        <f t="shared" si="1"/>
        <v>8.3956271686846318</v>
      </c>
    </row>
    <row r="25" spans="1:15" x14ac:dyDescent="0.25">
      <c r="A25" s="15" t="s">
        <v>23</v>
      </c>
      <c r="B25" s="15">
        <v>14.8</v>
      </c>
      <c r="C25" s="15">
        <v>10.6</v>
      </c>
      <c r="D25" s="15">
        <v>6.6</v>
      </c>
      <c r="E25" s="15">
        <v>0.9</v>
      </c>
      <c r="F25" s="15">
        <v>22.2</v>
      </c>
      <c r="G25" s="15">
        <v>0.3</v>
      </c>
      <c r="H25" s="15">
        <v>28.9</v>
      </c>
      <c r="I25" s="15">
        <v>4.0999999999999996</v>
      </c>
      <c r="J25" s="15">
        <v>11.6</v>
      </c>
      <c r="K25" s="16">
        <f>AVERAGE((B25-$B$13)^2, (C25-$C$13)^2, (D25-$D$13)^2, (E25-$E$13)^2,(F25-$F$13)^2,(G25-$G$13)^2,(H25-$H$13)^2, (I25-$I$13)^2)</f>
        <v>96.099924999999971</v>
      </c>
      <c r="L25" s="16">
        <f>SQRT(K25)</f>
        <v>9.8030569211853482</v>
      </c>
      <c r="M25" s="16">
        <f>AVERAGE((B25-$B$13)^2, (C25-$C$13)^2, (D25-$D$13)^2, (E25-$E$13)^2,(F25-$F$13)^2,(G25-$G$13)^2,(H25-$H$13)^2, (I25-$I$13)^2, (J25-$J$13)^2)</f>
        <v>97.765666666666633</v>
      </c>
      <c r="N25" s="16">
        <f t="shared" si="1"/>
        <v>9.8876522322878362</v>
      </c>
      <c r="O25" s="7"/>
    </row>
    <row r="26" spans="1:15" s="7" customFormat="1" x14ac:dyDescent="0.25">
      <c r="A26" s="13" t="s">
        <v>24</v>
      </c>
      <c r="B26" s="13">
        <v>16.3</v>
      </c>
      <c r="C26" s="13">
        <v>18.8</v>
      </c>
      <c r="D26" s="13">
        <v>8.4</v>
      </c>
      <c r="E26" s="13">
        <v>2</v>
      </c>
      <c r="F26" s="13">
        <v>24.4</v>
      </c>
      <c r="G26" s="13">
        <v>2.2000000000000002</v>
      </c>
      <c r="H26" s="13">
        <v>17</v>
      </c>
      <c r="I26" s="13">
        <v>1.8</v>
      </c>
      <c r="J26" s="13">
        <v>9.1999999999999993</v>
      </c>
      <c r="K26" s="23">
        <f>AVERAGE((B26-$B$13)^2, (C26-$C$13)^2, (D26-$D$13)^2, (E26-$E$13)^2,(F26-$F$13)^2,(G26-$G$13)^2,(H26-$H$13)^2, (I26-$I$13)^2)</f>
        <v>36.792425000000001</v>
      </c>
      <c r="L26" s="23">
        <f t="shared" si="2"/>
        <v>6.0656759722227171</v>
      </c>
      <c r="M26" s="23">
        <f>AVERAGE((B26-$B$13)^2, (C26-$C$13)^2, (D26-$D$13)^2, (E26-$E$13)^2,(F26-$F$13)^2,(G26-$G$13)^2,(H26-$H$13)^2, (I26-$I$13)^2, (J26-$J$13)^2)</f>
        <v>40.066555555555553</v>
      </c>
      <c r="N26" s="23">
        <f t="shared" si="1"/>
        <v>6.3298148121059237</v>
      </c>
    </row>
    <row r="27" spans="1:15" x14ac:dyDescent="0.25">
      <c r="A27" s="9" t="s">
        <v>25</v>
      </c>
      <c r="B27" s="9">
        <v>19.71</v>
      </c>
      <c r="C27" s="9">
        <v>26.85</v>
      </c>
      <c r="D27" s="9">
        <v>1.2</v>
      </c>
      <c r="E27" s="9">
        <v>13.94</v>
      </c>
      <c r="F27" s="9">
        <v>23.92</v>
      </c>
      <c r="G27" s="9">
        <v>0.66</v>
      </c>
      <c r="H27" s="9">
        <v>12.46</v>
      </c>
      <c r="I27" s="9">
        <v>1.26</v>
      </c>
      <c r="J27" s="9">
        <v>1.06</v>
      </c>
    </row>
    <row r="29" spans="1:15" x14ac:dyDescent="0.25">
      <c r="A29" s="1" t="s">
        <v>75</v>
      </c>
      <c r="B29" s="12" t="s">
        <v>0</v>
      </c>
      <c r="C29" s="12" t="s">
        <v>1</v>
      </c>
      <c r="D29" s="12" t="s">
        <v>2</v>
      </c>
      <c r="E29" s="12" t="s">
        <v>3</v>
      </c>
      <c r="F29" s="12" t="s">
        <v>4</v>
      </c>
      <c r="G29" s="12" t="s">
        <v>5</v>
      </c>
      <c r="H29" s="12" t="s">
        <v>6</v>
      </c>
      <c r="I29" s="12" t="s">
        <v>7</v>
      </c>
      <c r="J29" s="1" t="s">
        <v>8</v>
      </c>
      <c r="K29" s="12" t="s">
        <v>77</v>
      </c>
      <c r="L29" s="12" t="s">
        <v>78</v>
      </c>
      <c r="M29" s="12" t="s">
        <v>79</v>
      </c>
      <c r="N29" s="12" t="s">
        <v>80</v>
      </c>
    </row>
    <row r="30" spans="1:15" x14ac:dyDescent="0.25">
      <c r="A30" s="2" t="s">
        <v>26</v>
      </c>
      <c r="B30" s="2">
        <v>7.3</v>
      </c>
      <c r="C30" s="2">
        <v>23.5</v>
      </c>
      <c r="D30" s="2">
        <v>2.4</v>
      </c>
      <c r="E30" s="2">
        <v>13.5</v>
      </c>
      <c r="F30" s="2">
        <v>25.5</v>
      </c>
      <c r="G30" s="2">
        <v>2</v>
      </c>
      <c r="H30" s="2">
        <v>13.4</v>
      </c>
      <c r="I30" s="2">
        <v>3.2</v>
      </c>
      <c r="J30" s="2">
        <v>9.3000000000000007</v>
      </c>
      <c r="K30" s="3">
        <f>AVERAGE((B30-$B$13)^2, (C30-$C$13)^2, (D30-$D$13)^2, (E30-$E$13)^2,(F30-$F$13)^2,(G30-$G$13)^2,(H30-$H$13)^2, (I30-$I$13)^2)</f>
        <v>21.975425000000001</v>
      </c>
      <c r="L30" s="3">
        <f>SQRT(K30)</f>
        <v>4.6877953240302634</v>
      </c>
      <c r="M30" s="3">
        <f>AVERAGE((B30-$B$13)^2, (C30-$C$13)^2, (D30-$D$13)^2, (E30-$E$13)^2,(F30-$F$13)^2,(G30-$G$13)^2,(H30-$H$13)^2, (I30-$I$13)^2, (J30-$J$13)^2)</f>
        <v>27.077888888888893</v>
      </c>
      <c r="N30" s="3">
        <f t="shared" si="1"/>
        <v>5.2036418870718704</v>
      </c>
    </row>
    <row r="31" spans="1:15" s="7" customFormat="1" x14ac:dyDescent="0.25">
      <c r="A31" s="20" t="s">
        <v>15</v>
      </c>
      <c r="B31" s="20">
        <v>14.9</v>
      </c>
      <c r="C31" s="20">
        <v>12.5</v>
      </c>
      <c r="D31" s="20">
        <v>13.9</v>
      </c>
      <c r="E31" s="20">
        <v>2.9</v>
      </c>
      <c r="F31" s="20">
        <v>21.7</v>
      </c>
      <c r="G31" s="20">
        <v>2</v>
      </c>
      <c r="H31" s="20">
        <v>16.2</v>
      </c>
      <c r="I31" s="20">
        <v>6.8</v>
      </c>
      <c r="J31" s="20">
        <v>9.1999999999999993</v>
      </c>
      <c r="K31" s="21">
        <f>AVERAGE((B31-$B$13)^2, (C31-$C$13)^2, (D31-$D$13)^2, (E31-$E$13)^2,(F31-$F$13)^2,(G31-$G$13)^2,(H31-$H$13)^2, (I31-$I$13)^2)</f>
        <v>70.454175000000006</v>
      </c>
      <c r="L31" s="22">
        <f t="shared" ref="L31:L40" si="3">SQRT(K31)</f>
        <v>8.393698529253955</v>
      </c>
      <c r="M31" s="21">
        <f>AVERAGE((B31-$B$13)^2, (C31-$C$13)^2, (D31-$D$13)^2, (E31-$E$13)^2,(F31-$F$13)^2,(G31-$G$13)^2,(H31-$H$13)^2, (I31-$I$13)^2, (J31-$J$13)^2)</f>
        <v>69.98811111111111</v>
      </c>
      <c r="N31" s="22">
        <f t="shared" si="1"/>
        <v>8.3658897381636042</v>
      </c>
    </row>
    <row r="32" spans="1:15" x14ac:dyDescent="0.25">
      <c r="A32" s="4" t="s">
        <v>16</v>
      </c>
      <c r="B32" s="5">
        <v>13.9</v>
      </c>
      <c r="C32" s="5">
        <v>14.1</v>
      </c>
      <c r="D32" s="5">
        <v>15.4</v>
      </c>
      <c r="E32" s="5">
        <v>3.1</v>
      </c>
      <c r="F32" s="5">
        <v>17.2</v>
      </c>
      <c r="G32" s="5">
        <v>1.6</v>
      </c>
      <c r="H32" s="5">
        <v>15.3</v>
      </c>
      <c r="I32" s="5">
        <v>6.9</v>
      </c>
      <c r="J32" s="5">
        <v>12.6</v>
      </c>
      <c r="K32" s="10">
        <f>AVERAGE((B32-$B$13)^2, (C32-$C$13)^2, (D32-$D$13)^2, (E32-$E$13)^2,(F32-$F$13)^2,(G32-$G$13)^2,(H32-$H$13)^2, (I32-$I$13)^2)</f>
        <v>75.172675000000027</v>
      </c>
      <c r="L32" s="6">
        <f t="shared" si="3"/>
        <v>8.6702177019957247</v>
      </c>
      <c r="M32" s="10">
        <f>AVERAGE((B32-$B$13)^2, (C32-$C$13)^2, (D32-$D$13)^2, (E32-$E$13)^2,(F32-$F$13)^2,(G32-$G$13)^2,(H32-$H$13)^2, (I32-$I$13)^2, (J32-$J$13)^2)</f>
        <v>81.617000000000019</v>
      </c>
      <c r="N32" s="6">
        <f t="shared" si="1"/>
        <v>9.0342127493213269</v>
      </c>
    </row>
    <row r="33" spans="1:15" x14ac:dyDescent="0.25">
      <c r="A33" s="5" t="s">
        <v>17</v>
      </c>
      <c r="B33" s="5">
        <v>10.1</v>
      </c>
      <c r="C33" s="5">
        <v>12.6</v>
      </c>
      <c r="D33" s="5">
        <v>7.9</v>
      </c>
      <c r="E33" s="5">
        <v>3.8</v>
      </c>
      <c r="F33" s="5">
        <v>20.3</v>
      </c>
      <c r="G33" s="5">
        <v>3.8</v>
      </c>
      <c r="H33" s="5">
        <v>28</v>
      </c>
      <c r="I33" s="5">
        <v>2.7</v>
      </c>
      <c r="J33" s="5">
        <v>10.6</v>
      </c>
      <c r="K33" s="10">
        <f>AVERAGE((B33-$B$13)^2, (C33-$C$13)^2, (D33-$D$13)^2, (E33-$E$13)^2,(F33-$F$13)^2,(G33-$G$13)^2,(H33-$H$13)^2, (I33-$I$13)^2)</f>
        <v>88.706675000000018</v>
      </c>
      <c r="L33" s="6">
        <f t="shared" si="3"/>
        <v>9.4184221077630639</v>
      </c>
      <c r="M33" s="10">
        <f>AVERAGE((B33-$B$13)^2, (C33-$C$13)^2, (D33-$D$13)^2, (E33-$E$13)^2,(F33-$F$13)^2,(G33-$G$13)^2,(H33-$H$13)^2, (I33-$I$13)^2, (J33-$J$13)^2)</f>
        <v>88.962777777777802</v>
      </c>
      <c r="N33" s="6">
        <f t="shared" si="1"/>
        <v>9.4320081519142995</v>
      </c>
    </row>
    <row r="34" spans="1:15" x14ac:dyDescent="0.25">
      <c r="A34" s="4" t="s">
        <v>18</v>
      </c>
      <c r="B34" s="5">
        <v>10</v>
      </c>
      <c r="C34" s="5">
        <v>12.7</v>
      </c>
      <c r="D34" s="5">
        <v>7.8</v>
      </c>
      <c r="E34" s="5">
        <v>3.7</v>
      </c>
      <c r="F34" s="5">
        <v>20.399999999999999</v>
      </c>
      <c r="G34" s="5">
        <v>3.7</v>
      </c>
      <c r="H34" s="5">
        <v>29.2</v>
      </c>
      <c r="I34" s="5">
        <v>2.7</v>
      </c>
      <c r="J34" s="5">
        <v>9.9</v>
      </c>
      <c r="K34" s="10">
        <f>AVERAGE((B34-$B$13)^2, (C34-$C$13)^2, (D34-$D$13)^2, (E34-$E$13)^2,(F34-$F$13)^2,(G34-$G$13)^2,(H34-$H$13)^2, (I34-$I$13)^2)</f>
        <v>93.357174999999998</v>
      </c>
      <c r="L34" s="6">
        <f t="shared" si="3"/>
        <v>9.6621516754809846</v>
      </c>
      <c r="M34" s="10">
        <f>AVERAGE((B34-$B$13)^2, (C34-$C$13)^2, (D34-$D$13)^2, (E34-$E$13)^2,(F34-$F$13)^2,(G34-$G$13)^2,(H34-$H$13)^2, (I34-$I$13)^2, (J34-$J$13)^2)</f>
        <v>91.666999999999987</v>
      </c>
      <c r="N34" s="6">
        <f t="shared" si="1"/>
        <v>9.5742884853131507</v>
      </c>
    </row>
    <row r="35" spans="1:15" x14ac:dyDescent="0.25">
      <c r="A35" s="4" t="s">
        <v>19</v>
      </c>
      <c r="B35" s="5">
        <v>22.2</v>
      </c>
      <c r="C35" s="5">
        <v>11.1</v>
      </c>
      <c r="D35" s="5">
        <v>0</v>
      </c>
      <c r="E35" s="5">
        <v>0</v>
      </c>
      <c r="F35" s="5">
        <v>33.299999999999997</v>
      </c>
      <c r="G35" s="5">
        <v>0</v>
      </c>
      <c r="H35" s="5">
        <v>11.1</v>
      </c>
      <c r="I35" s="5">
        <v>0</v>
      </c>
      <c r="J35" s="5">
        <v>22.2</v>
      </c>
      <c r="K35" s="10">
        <f>AVERAGE((B35-$B$13)^2, (C35-$C$13)^2, (D35-$D$13)^2, (E35-$E$13)^2,(F35-$F$13)^2,(G35-$G$13)^2,(H35-$H$13)^2, (I35-$I$13)^2)</f>
        <v>67.735424999999992</v>
      </c>
      <c r="L35" s="6">
        <f t="shared" si="3"/>
        <v>8.2301534007574855</v>
      </c>
      <c r="M35" s="10">
        <f>AVERAGE((B35-$B$13)^2, (C35-$C$13)^2, (D35-$D$13)^2, (E35-$E$13)^2,(F35-$F$13)^2,(G35-$G$13)^2,(H35-$H$13)^2, (I35-$I$13)^2, (J35-$J$13)^2)</f>
        <v>109.86477777777776</v>
      </c>
      <c r="N35" s="6">
        <f t="shared" si="1"/>
        <v>10.481640032827771</v>
      </c>
    </row>
    <row r="36" spans="1:15" s="7" customFormat="1" x14ac:dyDescent="0.25">
      <c r="A36" s="19" t="s">
        <v>20</v>
      </c>
      <c r="B36" s="20">
        <v>22.2</v>
      </c>
      <c r="C36" s="20">
        <v>11.1</v>
      </c>
      <c r="D36" s="20">
        <v>0</v>
      </c>
      <c r="E36" s="20">
        <v>0</v>
      </c>
      <c r="F36" s="20">
        <v>33.299999999999997</v>
      </c>
      <c r="G36" s="20">
        <v>0.1</v>
      </c>
      <c r="H36" s="20">
        <v>11.1</v>
      </c>
      <c r="I36" s="20">
        <v>0</v>
      </c>
      <c r="J36" s="20">
        <v>22.2</v>
      </c>
      <c r="K36" s="21">
        <f>AVERAGE((B36-$B$13)^2, (C36-$C$13)^2, (D36-$D$13)^2, (E36-$E$13)^2,(F36-$F$13)^2,(G36-$G$13)^2,(H36-$H$13)^2, (I36-$I$13)^2)</f>
        <v>67.720174999999983</v>
      </c>
      <c r="L36" s="22">
        <f t="shared" si="3"/>
        <v>8.2292268774168562</v>
      </c>
      <c r="M36" s="21">
        <f>AVERAGE((B36-$B$13)^2, (C36-$C$13)^2, (D36-$D$13)^2, (E36-$E$13)^2,(F36-$F$13)^2,(G36-$G$13)^2,(H36-$H$13)^2, (I36-$I$13)^2, (J36-$J$13)^2)</f>
        <v>109.85122222222221</v>
      </c>
      <c r="N36" s="22">
        <f t="shared" si="1"/>
        <v>10.480993379552446</v>
      </c>
    </row>
    <row r="37" spans="1:15" s="7" customFormat="1" x14ac:dyDescent="0.25">
      <c r="A37" s="8" t="s">
        <v>21</v>
      </c>
      <c r="B37" s="8">
        <v>20.100000000000001</v>
      </c>
      <c r="C37" s="8">
        <v>11.6</v>
      </c>
      <c r="D37" s="8">
        <v>7.7</v>
      </c>
      <c r="E37" s="8">
        <v>0.9</v>
      </c>
      <c r="F37" s="8">
        <v>26.6</v>
      </c>
      <c r="G37" s="8">
        <v>0.1</v>
      </c>
      <c r="H37" s="8">
        <v>20.2</v>
      </c>
      <c r="I37" s="8">
        <v>6</v>
      </c>
      <c r="J37" s="26">
        <v>6.9</v>
      </c>
      <c r="K37" s="11">
        <f>AVERAGE((B37-$B$13)^2, (C37-$C$13)^2, (D37-$D$13)^2, (E37-$E$13)^2,(F37-$F$13)^2,(G37-$G$13)^2,(H37-$H$13)^2, (I37-$I$13)^2)</f>
        <v>66.859674999999996</v>
      </c>
      <c r="L37" s="17">
        <f t="shared" si="3"/>
        <v>8.176776565370977</v>
      </c>
      <c r="M37" s="11">
        <f>AVERAGE((B37-$B$13)^2, (C37-$C$13)^2, (D37-$D$13)^2, (E37-$E$13)^2,(F37-$F$13)^2,(G37-$G$13)^2,(H37-$H$13)^2, (I37-$I$13)^2, (J37-$J$13)^2)</f>
        <v>63.220333333333329</v>
      </c>
      <c r="N37" s="17">
        <f t="shared" si="1"/>
        <v>7.9511215141848597</v>
      </c>
    </row>
    <row r="38" spans="1:15" x14ac:dyDescent="0.25">
      <c r="A38" s="14" t="s">
        <v>22</v>
      </c>
      <c r="B38" s="14">
        <v>13.7</v>
      </c>
      <c r="C38" s="14">
        <v>13.9</v>
      </c>
      <c r="D38" s="14">
        <v>5.8</v>
      </c>
      <c r="E38" s="14">
        <v>0.7</v>
      </c>
      <c r="F38" s="14">
        <v>23</v>
      </c>
      <c r="G38" s="14">
        <v>2.9</v>
      </c>
      <c r="H38" s="14">
        <v>25.9</v>
      </c>
      <c r="I38" s="14">
        <v>4.2</v>
      </c>
      <c r="J38" s="14">
        <v>9.9</v>
      </c>
      <c r="K38" s="24">
        <f>AVERAGE((B38-$B$13)^2, (C38-$C$13)^2, (D38-$D$13)^2, (E38-$E$13)^2,(F38-$F$13)^2,(G38-$G$13)^2,(H38-$H$13)^2, (I38-$I$13)^2)</f>
        <v>74.427675000000008</v>
      </c>
      <c r="L38" s="25">
        <f t="shared" si="3"/>
        <v>8.6271475587241468</v>
      </c>
      <c r="M38" s="24">
        <f>AVERAGE((B38-$B$13)^2, (C38-$C$13)^2, (D38-$D$13)^2, (E38-$E$13)^2,(F38-$F$13)^2,(G38-$G$13)^2,(H38-$H$13)^2, (I38-$I$13)^2, (J38-$J$13)^2)</f>
        <v>74.840777777777774</v>
      </c>
      <c r="N38" s="25">
        <f t="shared" si="1"/>
        <v>8.6510564544324744</v>
      </c>
    </row>
    <row r="39" spans="1:15" x14ac:dyDescent="0.25">
      <c r="A39" s="15" t="s">
        <v>23</v>
      </c>
      <c r="B39" s="15">
        <v>15.7</v>
      </c>
      <c r="C39" s="15">
        <v>10.199999999999999</v>
      </c>
      <c r="D39" s="15">
        <v>6.9</v>
      </c>
      <c r="E39" s="15">
        <v>1.2</v>
      </c>
      <c r="F39" s="15">
        <v>21.6</v>
      </c>
      <c r="G39" s="15">
        <v>0.4</v>
      </c>
      <c r="H39" s="15">
        <v>28</v>
      </c>
      <c r="I39" s="15">
        <v>4.5</v>
      </c>
      <c r="J39" s="15">
        <v>11.4</v>
      </c>
      <c r="K39" s="16">
        <f>AVERAGE((B39-$B$13)^2, (C39-$C$13)^2, (D39-$D$13)^2, (E39-$E$13)^2,(F39-$F$13)^2,(G39-$G$13)^2,(H39-$H$13)^2, (I39-$I$13)^2)</f>
        <v>93.192425000000014</v>
      </c>
      <c r="L39" s="16">
        <f t="shared" si="3"/>
        <v>9.653622377118344</v>
      </c>
      <c r="M39" s="16">
        <f>AVERAGE((B39-$B$13)^2, (C39-$C$13)^2, (D39-$D$13)^2, (E39-$E$13)^2,(F39-$F$13)^2,(G39-$G$13)^2,(H39-$H$13)^2, (I39-$I$13)^2, (J39-$J$13)^2)</f>
        <v>94.717222222222233</v>
      </c>
      <c r="N39" s="16">
        <f t="shared" si="1"/>
        <v>9.732277339976612</v>
      </c>
      <c r="O39" s="7"/>
    </row>
    <row r="40" spans="1:15" s="7" customFormat="1" x14ac:dyDescent="0.25">
      <c r="A40" s="13" t="s">
        <v>24</v>
      </c>
      <c r="B40" s="13">
        <v>16.2</v>
      </c>
      <c r="C40" s="13">
        <v>18</v>
      </c>
      <c r="D40" s="13">
        <v>8.1999999999999993</v>
      </c>
      <c r="E40" s="13">
        <v>2</v>
      </c>
      <c r="F40" s="13">
        <v>23.6</v>
      </c>
      <c r="G40" s="13">
        <v>2.5</v>
      </c>
      <c r="H40" s="13">
        <v>18</v>
      </c>
      <c r="I40" s="13">
        <v>2.1</v>
      </c>
      <c r="J40" s="13">
        <v>9.5</v>
      </c>
      <c r="K40" s="23">
        <f>AVERAGE((B40-$B$13)^2, (C40-$C$13)^2, (D40-$D$13)^2, (E40-$E$13)^2,(F40-$F$13)^2,(G40-$G$13)^2,(H40-$H$13)^2, (I40-$I$13)^2)</f>
        <v>39.636424999999996</v>
      </c>
      <c r="L40" s="23">
        <f t="shared" si="3"/>
        <v>6.2957465800332209</v>
      </c>
      <c r="M40" s="23">
        <f>AVERAGE((B40-$B$13)^2, (C40-$C$13)^2, (D40-$D$13)^2, (E40-$E$13)^2,(F40-$F$13)^2,(G40-$G$13)^2,(H40-$H$13)^2, (I40-$I$13)^2, (J40-$J$13)^2)</f>
        <v>43.147222222222211</v>
      </c>
      <c r="N40" s="23">
        <f t="shared" si="1"/>
        <v>6.5686545214543148</v>
      </c>
    </row>
    <row r="41" spans="1:15" x14ac:dyDescent="0.25">
      <c r="A41" s="9" t="s">
        <v>25</v>
      </c>
      <c r="B41" s="9">
        <v>19.71</v>
      </c>
      <c r="C41" s="9">
        <v>26.85</v>
      </c>
      <c r="D41" s="9">
        <v>1.2</v>
      </c>
      <c r="E41" s="9">
        <v>13.94</v>
      </c>
      <c r="F41" s="9">
        <v>23.92</v>
      </c>
      <c r="G41" s="9">
        <v>0.66</v>
      </c>
      <c r="H41" s="9">
        <v>12.46</v>
      </c>
      <c r="I41" s="9">
        <v>1.26</v>
      </c>
      <c r="J41" s="9">
        <v>1.06</v>
      </c>
    </row>
    <row r="43" spans="1:15" x14ac:dyDescent="0.25">
      <c r="A43" s="129" t="s">
        <v>76</v>
      </c>
      <c r="B43" s="12" t="s">
        <v>0</v>
      </c>
      <c r="C43" s="12" t="s">
        <v>1</v>
      </c>
      <c r="D43" s="12" t="s">
        <v>2</v>
      </c>
      <c r="E43" s="12" t="s">
        <v>3</v>
      </c>
      <c r="F43" s="12" t="s">
        <v>4</v>
      </c>
      <c r="G43" s="12" t="s">
        <v>5</v>
      </c>
      <c r="H43" s="12" t="s">
        <v>6</v>
      </c>
      <c r="I43" s="12" t="s">
        <v>7</v>
      </c>
      <c r="J43" s="1" t="s">
        <v>8</v>
      </c>
      <c r="K43" s="12" t="s">
        <v>77</v>
      </c>
      <c r="L43" s="12" t="s">
        <v>78</v>
      </c>
      <c r="M43" s="12" t="s">
        <v>79</v>
      </c>
      <c r="N43" s="12" t="s">
        <v>80</v>
      </c>
    </row>
    <row r="44" spans="1:15" x14ac:dyDescent="0.25">
      <c r="A44" s="2" t="s">
        <v>26</v>
      </c>
      <c r="B44" s="2">
        <v>6.9</v>
      </c>
      <c r="C44" s="2">
        <v>22.5</v>
      </c>
      <c r="D44" s="2">
        <v>2.4</v>
      </c>
      <c r="E44" s="2">
        <v>13.6</v>
      </c>
      <c r="F44" s="2">
        <v>28</v>
      </c>
      <c r="G44" s="2">
        <v>2.1</v>
      </c>
      <c r="H44" s="2">
        <v>13.3</v>
      </c>
      <c r="I44" s="2">
        <v>2.8</v>
      </c>
      <c r="J44" s="2">
        <v>8.4</v>
      </c>
      <c r="K44" s="3">
        <f>AVERAGE((B44-$B$13)^2, (C44-$C$13)^2, (D44-$D$13)^2, (E44-$E$13)^2,(F44-$F$13)^2,(G44-$G$13)^2,(H44-$H$13)^2, (I44-$I$13)^2)</f>
        <v>25.796424999999999</v>
      </c>
      <c r="L44" s="3">
        <f>SQRT(K44)</f>
        <v>5.0790181137696289</v>
      </c>
      <c r="M44" s="3">
        <f>AVERAGE((B44-$B$13)^2, (C44-$C$13)^2, (D44-$D$13)^2, (E44-$E$13)^2,(F44-$F$13)^2,(G44-$G$13)^2,(H44-$H$13)^2, (I44-$I$13)^2, (J44-$J$13)^2)</f>
        <v>28.916333333333334</v>
      </c>
      <c r="N44" s="3">
        <f t="shared" ref="N44:N54" si="4">SQRT(M44)</f>
        <v>5.3773909410915381</v>
      </c>
    </row>
    <row r="45" spans="1:15" s="7" customFormat="1" x14ac:dyDescent="0.25">
      <c r="A45" s="20" t="s">
        <v>15</v>
      </c>
      <c r="B45" s="20">
        <v>15.1</v>
      </c>
      <c r="C45" s="20">
        <v>12.7</v>
      </c>
      <c r="D45" s="20">
        <v>14.1</v>
      </c>
      <c r="E45" s="20">
        <v>2.8</v>
      </c>
      <c r="F45" s="20">
        <v>21.7</v>
      </c>
      <c r="G45" s="20">
        <v>1.8</v>
      </c>
      <c r="H45" s="20">
        <v>16.2</v>
      </c>
      <c r="I45" s="20">
        <v>6.7</v>
      </c>
      <c r="J45" s="20">
        <v>8.8000000000000007</v>
      </c>
      <c r="K45" s="21">
        <f>AVERAGE((B45-$B$13)^2, (C45-$C$13)^2, (D45-$D$13)^2, (E45-$E$13)^2,(F45-$F$13)^2,(G45-$G$13)^2,(H45-$H$13)^2, (I45-$I$13)^2)</f>
        <v>70.224175000000031</v>
      </c>
      <c r="L45" s="22">
        <f t="shared" ref="L45:L54" si="5">SQRT(K45)</f>
        <v>8.3799865751682461</v>
      </c>
      <c r="M45" s="21">
        <f>AVERAGE((B45-$B$13)^2, (C45-$C$13)^2, (D45-$D$13)^2, (E45-$E$13)^2,(F45-$F$13)^2,(G45-$G$13)^2,(H45-$H$13)^2, (I45-$I$13)^2, (J45-$J$13)^2)</f>
        <v>69.077888888888921</v>
      </c>
      <c r="N45" s="22">
        <f t="shared" si="4"/>
        <v>8.3113109007477828</v>
      </c>
    </row>
    <row r="46" spans="1:15" x14ac:dyDescent="0.25">
      <c r="A46" s="4" t="s">
        <v>16</v>
      </c>
      <c r="B46" s="5">
        <v>14.3</v>
      </c>
      <c r="C46" s="5">
        <v>13.9</v>
      </c>
      <c r="D46" s="5">
        <v>15.5</v>
      </c>
      <c r="E46" s="5">
        <v>2.9</v>
      </c>
      <c r="F46" s="5">
        <v>17.399999999999999</v>
      </c>
      <c r="G46" s="5">
        <v>1.5</v>
      </c>
      <c r="H46" s="5">
        <v>15.3</v>
      </c>
      <c r="I46" s="5">
        <v>6.7</v>
      </c>
      <c r="J46" s="5">
        <v>12.6</v>
      </c>
      <c r="K46" s="10">
        <f>AVERAGE((B46-$B$13)^2, (C46-$C$13)^2, (D46-$D$13)^2, (E46-$E$13)^2,(F46-$F$13)^2,(G46-$G$13)^2,(H46-$H$13)^2, (I46-$I$13)^2)</f>
        <v>75.527175</v>
      </c>
      <c r="L46" s="6">
        <f t="shared" si="5"/>
        <v>8.6906372033355535</v>
      </c>
      <c r="M46" s="10">
        <f t="shared" ref="M46:M54" si="6">AVERAGE((B46-$B$13)^2, (C46-$C$13)^2, (D46-$D$13)^2, (E46-$E$13)^2,(F46-$F$13)^2,(G46-$G$13)^2,(H46-$H$13)^2, (I46-$I$13)^2, (J46-$J$13)^2)</f>
        <v>81.932111111111112</v>
      </c>
      <c r="N46" s="6">
        <f t="shared" si="4"/>
        <v>9.0516358251484643</v>
      </c>
    </row>
    <row r="47" spans="1:15" x14ac:dyDescent="0.25">
      <c r="A47" s="5" t="s">
        <v>17</v>
      </c>
      <c r="B47" s="5">
        <v>10.199999999999999</v>
      </c>
      <c r="C47" s="5">
        <v>12.6</v>
      </c>
      <c r="D47" s="5">
        <v>8</v>
      </c>
      <c r="E47" s="5">
        <v>3.9</v>
      </c>
      <c r="F47" s="5">
        <v>20.3</v>
      </c>
      <c r="G47" s="5">
        <v>3.9</v>
      </c>
      <c r="H47" s="5">
        <v>28</v>
      </c>
      <c r="I47" s="5">
        <v>2.7</v>
      </c>
      <c r="J47" s="5">
        <v>10.5</v>
      </c>
      <c r="K47" s="10">
        <f>AVERAGE((B47-$B$13)^2, (C47-$C$13)^2, (D47-$D$13)^2, (E47-$E$13)^2,(F47-$F$13)^2,(G47-$G$13)^2,(H47-$H$13)^2, (I47-$I$13)^2)</f>
        <v>88.463925000000003</v>
      </c>
      <c r="L47" s="6">
        <f t="shared" si="5"/>
        <v>9.405526301063647</v>
      </c>
      <c r="M47" s="10">
        <f t="shared" si="6"/>
        <v>88.536111111111111</v>
      </c>
      <c r="N47" s="6">
        <f t="shared" si="4"/>
        <v>9.4093629492708537</v>
      </c>
    </row>
    <row r="48" spans="1:15" x14ac:dyDescent="0.25">
      <c r="A48" s="126" t="s">
        <v>18</v>
      </c>
      <c r="B48" s="127">
        <v>10</v>
      </c>
      <c r="C48" s="127">
        <v>12.7</v>
      </c>
      <c r="D48" s="127">
        <v>7.8</v>
      </c>
      <c r="E48" s="127">
        <v>3.7</v>
      </c>
      <c r="F48" s="127">
        <v>20.399999999999999</v>
      </c>
      <c r="G48" s="127">
        <v>3.7</v>
      </c>
      <c r="H48" s="127">
        <v>29.2</v>
      </c>
      <c r="I48" s="127">
        <v>2.7</v>
      </c>
      <c r="J48" s="127">
        <v>9.9</v>
      </c>
      <c r="K48" s="10">
        <f>AVERAGE((B48-$B$13)^2, (C48-$C$13)^2, (D48-$D$13)^2, (E48-$E$13)^2,(F48-$F$13)^2,(G48-$G$13)^2,(H48-$H$13)^2, (I48-$I$13)^2)</f>
        <v>93.357174999999998</v>
      </c>
      <c r="L48" s="6">
        <f t="shared" si="5"/>
        <v>9.6621516754809846</v>
      </c>
      <c r="M48" s="10">
        <f t="shared" si="6"/>
        <v>91.666999999999987</v>
      </c>
      <c r="N48" s="6">
        <f t="shared" si="4"/>
        <v>9.5742884853131507</v>
      </c>
    </row>
    <row r="49" spans="1:15" x14ac:dyDescent="0.25">
      <c r="A49" s="4" t="s">
        <v>19</v>
      </c>
      <c r="B49" s="5">
        <v>22.2</v>
      </c>
      <c r="C49" s="5">
        <v>11.1</v>
      </c>
      <c r="D49" s="5">
        <v>0</v>
      </c>
      <c r="E49" s="5">
        <v>0</v>
      </c>
      <c r="F49" s="5">
        <v>33.299999999999997</v>
      </c>
      <c r="G49" s="5">
        <v>0</v>
      </c>
      <c r="H49" s="5">
        <v>11.1</v>
      </c>
      <c r="I49" s="5">
        <v>0</v>
      </c>
      <c r="J49" s="5">
        <v>22.2</v>
      </c>
      <c r="K49" s="10">
        <f>AVERAGE((B49-$B$13)^2, (C49-$C$13)^2, (D49-$D$13)^2, (E49-$E$13)^2,(F49-$F$13)^2,(G49-$G$13)^2,(H49-$H$13)^2, (I49-$I$13)^2)</f>
        <v>67.735424999999992</v>
      </c>
      <c r="L49" s="6">
        <f t="shared" si="5"/>
        <v>8.2301534007574855</v>
      </c>
      <c r="M49" s="10">
        <f t="shared" si="6"/>
        <v>109.86477777777776</v>
      </c>
      <c r="N49" s="6">
        <f t="shared" si="4"/>
        <v>10.481640032827771</v>
      </c>
    </row>
    <row r="50" spans="1:15" s="7" customFormat="1" x14ac:dyDescent="0.25">
      <c r="A50" s="4" t="s">
        <v>20</v>
      </c>
      <c r="B50" s="5">
        <v>22.2</v>
      </c>
      <c r="C50" s="5">
        <v>11.1</v>
      </c>
      <c r="D50" s="5">
        <v>0</v>
      </c>
      <c r="E50" s="5">
        <v>0</v>
      </c>
      <c r="F50" s="5">
        <v>33.299999999999997</v>
      </c>
      <c r="G50" s="5">
        <v>0.1</v>
      </c>
      <c r="H50" s="5">
        <v>11.1</v>
      </c>
      <c r="I50" s="5">
        <v>0</v>
      </c>
      <c r="J50" s="5">
        <v>22.2</v>
      </c>
      <c r="K50" s="10">
        <f>AVERAGE((B50-$B$13)^2, (C50-$C$13)^2, (D50-$D$13)^2, (E50-$E$13)^2,(F50-$F$13)^2,(G50-$G$13)^2,(H50-$H$13)^2, (I50-$I$13)^2)</f>
        <v>67.720174999999983</v>
      </c>
      <c r="L50" s="6">
        <f t="shared" si="5"/>
        <v>8.2292268774168562</v>
      </c>
      <c r="M50" s="10">
        <f t="shared" si="6"/>
        <v>109.85122222222221</v>
      </c>
      <c r="N50" s="6">
        <f t="shared" si="4"/>
        <v>10.480993379552446</v>
      </c>
    </row>
    <row r="51" spans="1:15" s="7" customFormat="1" x14ac:dyDescent="0.25">
      <c r="A51" s="8" t="s">
        <v>21</v>
      </c>
      <c r="B51" s="8">
        <v>20.2</v>
      </c>
      <c r="C51" s="8">
        <v>11.8</v>
      </c>
      <c r="D51" s="8">
        <v>7.5</v>
      </c>
      <c r="E51" s="8">
        <v>0.9</v>
      </c>
      <c r="F51" s="8">
        <v>26.8</v>
      </c>
      <c r="G51" s="8">
        <v>0.1</v>
      </c>
      <c r="H51" s="8">
        <v>19.8</v>
      </c>
      <c r="I51" s="8">
        <v>6</v>
      </c>
      <c r="J51" s="26">
        <v>6.9</v>
      </c>
      <c r="K51" s="11">
        <f>AVERAGE((B51-$B$13)^2, (C51-$C$13)^2, (D51-$D$13)^2, (E51-$E$13)^2,(F51-$F$13)^2,(G51-$G$13)^2,(H51-$H$13)^2, (I51-$I$13)^2)</f>
        <v>65.178174999999996</v>
      </c>
      <c r="L51" s="17">
        <f t="shared" si="5"/>
        <v>8.0733001306776639</v>
      </c>
      <c r="M51" s="11">
        <f t="shared" si="6"/>
        <v>61.725666666666662</v>
      </c>
      <c r="N51" s="17">
        <f t="shared" si="4"/>
        <v>7.8565683772666715</v>
      </c>
    </row>
    <row r="52" spans="1:15" x14ac:dyDescent="0.25">
      <c r="A52" s="128" t="s">
        <v>22</v>
      </c>
      <c r="B52" s="128">
        <v>14</v>
      </c>
      <c r="C52" s="128">
        <v>14.4</v>
      </c>
      <c r="D52" s="128">
        <v>6</v>
      </c>
      <c r="E52" s="128">
        <v>0.7</v>
      </c>
      <c r="F52" s="128">
        <v>23.7</v>
      </c>
      <c r="G52" s="128">
        <v>2.5</v>
      </c>
      <c r="H52" s="128">
        <v>24.9</v>
      </c>
      <c r="I52" s="128">
        <v>3.8</v>
      </c>
      <c r="J52" s="128">
        <v>9.9</v>
      </c>
      <c r="K52" s="24">
        <f>AVERAGE((B52-$B$13)^2, (C52-$C$13)^2, (D52-$D$13)^2, (E52-$E$13)^2,(F52-$F$13)^2,(G52-$G$13)^2,(H52-$H$13)^2, (I52-$I$13)^2)</f>
        <v>68.822924999999998</v>
      </c>
      <c r="L52" s="25">
        <f t="shared" si="5"/>
        <v>8.2959583533188006</v>
      </c>
      <c r="M52" s="24">
        <f t="shared" si="6"/>
        <v>69.858777777777789</v>
      </c>
      <c r="N52" s="25">
        <f t="shared" si="4"/>
        <v>8.3581563623671098</v>
      </c>
    </row>
    <row r="53" spans="1:15" x14ac:dyDescent="0.25">
      <c r="A53" s="15" t="s">
        <v>23</v>
      </c>
      <c r="B53" s="15">
        <v>14.8</v>
      </c>
      <c r="C53" s="15">
        <v>10.6</v>
      </c>
      <c r="D53" s="15">
        <v>6.6</v>
      </c>
      <c r="E53" s="15">
        <v>0.9</v>
      </c>
      <c r="F53" s="15">
        <v>22.3</v>
      </c>
      <c r="G53" s="15">
        <v>0.3</v>
      </c>
      <c r="H53" s="15">
        <v>28.9</v>
      </c>
      <c r="I53" s="15">
        <v>4.0999999999999996</v>
      </c>
      <c r="J53" s="15">
        <v>11.6</v>
      </c>
      <c r="K53" s="16">
        <f>AVERAGE((B53-$B$13)^2, (C53-$C$13)^2, (D53-$D$13)^2, (E53-$E$13)^2,(F53-$F$13)^2,(G53-$G$13)^2,(H53-$H$13)^2, (I53-$I$13)^2)</f>
        <v>96.058174999999977</v>
      </c>
      <c r="L53" s="16">
        <f t="shared" si="5"/>
        <v>9.8009272520512045</v>
      </c>
      <c r="M53" s="16">
        <f t="shared" si="6"/>
        <v>97.728555555555531</v>
      </c>
      <c r="N53" s="16">
        <f t="shared" si="4"/>
        <v>9.8857754149867034</v>
      </c>
      <c r="O53" s="7"/>
    </row>
    <row r="54" spans="1:15" s="7" customFormat="1" x14ac:dyDescent="0.25">
      <c r="A54" s="13" t="s">
        <v>24</v>
      </c>
      <c r="B54" s="13">
        <v>16.3</v>
      </c>
      <c r="C54" s="13">
        <v>18.600000000000001</v>
      </c>
      <c r="D54" s="13">
        <v>8.3000000000000007</v>
      </c>
      <c r="E54" s="13">
        <v>1.9</v>
      </c>
      <c r="F54" s="13">
        <v>24.3</v>
      </c>
      <c r="G54" s="13">
        <v>2.2000000000000002</v>
      </c>
      <c r="H54" s="13">
        <v>17.2</v>
      </c>
      <c r="I54" s="13">
        <v>1.8</v>
      </c>
      <c r="J54" s="13">
        <v>9.3000000000000007</v>
      </c>
      <c r="K54" s="23">
        <f>AVERAGE((B54-$B$13)^2, (C54-$C$13)^2, (D54-$D$13)^2, (E54-$E$13)^2,(F54-$F$13)^2,(G54-$G$13)^2,(H54-$H$13)^2, (I54-$I$13)^2)</f>
        <v>37.542175</v>
      </c>
      <c r="L54" s="23">
        <f t="shared" si="5"/>
        <v>6.1271669636137709</v>
      </c>
      <c r="M54" s="23">
        <f t="shared" si="6"/>
        <v>40.914999999999999</v>
      </c>
      <c r="N54" s="23">
        <f t="shared" si="4"/>
        <v>6.3964834088739728</v>
      </c>
    </row>
    <row r="55" spans="1:15" x14ac:dyDescent="0.25">
      <c r="A55" s="9" t="s">
        <v>25</v>
      </c>
      <c r="B55" s="9">
        <v>19.71</v>
      </c>
      <c r="C55" s="9">
        <v>26.85</v>
      </c>
      <c r="D55" s="9">
        <v>1.2</v>
      </c>
      <c r="E55" s="9">
        <v>13.94</v>
      </c>
      <c r="F55" s="9">
        <v>23.92</v>
      </c>
      <c r="G55" s="9">
        <v>0.66</v>
      </c>
      <c r="H55" s="9">
        <v>12.46</v>
      </c>
      <c r="I55" s="9">
        <v>1.26</v>
      </c>
      <c r="J55" s="9">
        <v>1.06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82CD-26B6-4BDA-B4AE-46894BE8E0EB}">
  <dimension ref="A1:T47"/>
  <sheetViews>
    <sheetView zoomScale="85" zoomScaleNormal="85" workbookViewId="0">
      <selection activeCell="G61" sqref="G61"/>
    </sheetView>
  </sheetViews>
  <sheetFormatPr baseColWidth="10" defaultColWidth="8.7109375" defaultRowHeight="15" x14ac:dyDescent="0.25"/>
  <cols>
    <col min="1" max="1" width="44.140625" customWidth="1"/>
    <col min="5" max="5" width="10.5703125" style="18" bestFit="1" customWidth="1"/>
    <col min="6" max="6" width="9.5703125" style="18" bestFit="1" customWidth="1"/>
    <col min="7" max="7" width="12.5703125" style="18" customWidth="1"/>
    <col min="8" max="8" width="14.140625" style="18" customWidth="1"/>
    <col min="12" max="12" width="13.140625" customWidth="1"/>
    <col min="13" max="13" width="14.42578125" customWidth="1"/>
  </cols>
  <sheetData>
    <row r="1" spans="1:20" x14ac:dyDescent="0.25">
      <c r="A1" s="1" t="s">
        <v>73</v>
      </c>
      <c r="B1" s="12" t="s">
        <v>4</v>
      </c>
      <c r="C1" s="12" t="s">
        <v>1</v>
      </c>
      <c r="D1" s="1" t="s">
        <v>39</v>
      </c>
      <c r="E1" s="12" t="s">
        <v>77</v>
      </c>
      <c r="F1" s="12" t="s">
        <v>78</v>
      </c>
      <c r="G1" s="12" t="s">
        <v>79</v>
      </c>
      <c r="H1" s="12" t="s">
        <v>80</v>
      </c>
      <c r="J1" s="138" t="s">
        <v>82</v>
      </c>
      <c r="K1" s="134"/>
      <c r="L1" s="134"/>
      <c r="M1" s="134"/>
      <c r="N1" s="27"/>
      <c r="O1" s="27"/>
      <c r="P1" s="27"/>
      <c r="Q1" s="27"/>
      <c r="R1" s="27"/>
    </row>
    <row r="2" spans="1:20" x14ac:dyDescent="0.25">
      <c r="A2" s="2" t="s">
        <v>26</v>
      </c>
      <c r="B2" s="3">
        <f>'[1]Ronda 2 (valores sobre1)'!B2*100</f>
        <v>48</v>
      </c>
      <c r="C2" s="3">
        <f>'[1]Ronda 2 (valores sobre1)'!C2*100</f>
        <v>38</v>
      </c>
      <c r="D2" s="3">
        <f>'[1]Ronda 2 (valores sobre1)'!D2*100</f>
        <v>12</v>
      </c>
      <c r="E2" s="3">
        <f>AVERAGE((B2-$B$11)^2, (C2-$C$11)^2)</f>
        <v>49.472922737597408</v>
      </c>
      <c r="F2" s="3">
        <f>SQRT(E2)</f>
        <v>7.0336990792610266</v>
      </c>
      <c r="G2" s="3">
        <f>AVERAGE((B2-$B$11)^2, (C2-$C$11)^2, (D2-$D$11)^2)</f>
        <v>70.961998046012226</v>
      </c>
      <c r="H2" s="3">
        <f>SQRT(G2)</f>
        <v>8.4238944702561547</v>
      </c>
      <c r="J2" s="12" t="s">
        <v>77</v>
      </c>
      <c r="K2" s="12" t="s">
        <v>78</v>
      </c>
      <c r="L2" s="12" t="s">
        <v>79</v>
      </c>
      <c r="M2" s="12" t="s">
        <v>80</v>
      </c>
      <c r="N2" s="27"/>
      <c r="O2" t="s">
        <v>27</v>
      </c>
      <c r="P2" s="27"/>
      <c r="Q2" s="27"/>
      <c r="R2" s="27"/>
    </row>
    <row r="3" spans="1:20" x14ac:dyDescent="0.25">
      <c r="A3" s="5" t="s">
        <v>15</v>
      </c>
      <c r="B3" s="6">
        <f>'[1]Ronda 2 (valores sobre1)'!B3*100</f>
        <v>38.599220000000003</v>
      </c>
      <c r="C3" s="6">
        <f>'[1]Ronda 2 (valores sobre1)'!C3*100</f>
        <v>43.662649999999999</v>
      </c>
      <c r="D3" s="6">
        <f>'[1]Ronda 2 (valores sobre1)'!D3*100</f>
        <v>17.738129999999998</v>
      </c>
      <c r="E3" s="10">
        <f>AVERAGE((B3-$B$11)^2, (C3-$C$11)^2)</f>
        <v>179.35299122568884</v>
      </c>
      <c r="F3" s="6">
        <f t="shared" ref="F3:F10" si="0">SQRT(E3)</f>
        <v>13.392273564473243</v>
      </c>
      <c r="G3" s="10">
        <f>AVERAGE((B3-$B$11)^2, (C3-$C$11)^2, (D3-$D$11)^2)</f>
        <v>209.35767441237454</v>
      </c>
      <c r="H3" s="6">
        <f t="shared" ref="H3:H46" si="1">SQRT(G3)</f>
        <v>14.469197434978021</v>
      </c>
      <c r="J3" s="10">
        <f>AVERAGE((B3-$B$38)^2, (C3-$C$38)^2)</f>
        <v>60.220134815449974</v>
      </c>
      <c r="K3" s="6">
        <f t="shared" ref="K3:K11" si="2">SQRT(J3)</f>
        <v>7.7601633240190235</v>
      </c>
      <c r="L3" s="10">
        <f>AVERAGE((B3-$B$38)^2, (C3-$C$38)^2, (D3-$D$38)^2)</f>
        <v>51.122135175933316</v>
      </c>
      <c r="M3" s="6">
        <f t="shared" ref="M3:M11" si="3">SQRT(L3)</f>
        <v>7.1499744877819893</v>
      </c>
      <c r="N3" s="27"/>
      <c r="O3" s="28">
        <v>0.58160000000000001</v>
      </c>
      <c r="P3" s="28">
        <v>0.41839999999999999</v>
      </c>
      <c r="R3" s="27"/>
    </row>
    <row r="4" spans="1:20" x14ac:dyDescent="0.25">
      <c r="A4" s="4" t="s">
        <v>16</v>
      </c>
      <c r="B4" s="6">
        <f>'[1]Ronda 2 (valores sobre1)'!B4*100</f>
        <v>40.334699999999998</v>
      </c>
      <c r="C4" s="6">
        <f>'[1]Ronda 2 (valores sobre1)'!C4*100</f>
        <v>39.771149999999999</v>
      </c>
      <c r="D4" s="6">
        <f>'[1]Ronda 2 (valores sobre1)'!D4*100</f>
        <v>19.89415</v>
      </c>
      <c r="E4" s="10">
        <f>AVERAGE((B4-$B$11)^2, (C4-$C$11)^2)</f>
        <v>146.57021503368205</v>
      </c>
      <c r="F4" s="6">
        <f t="shared" si="0"/>
        <v>12.106618645752498</v>
      </c>
      <c r="G4" s="10">
        <f>AVERAGE((B4-$B$11)^2, (C4-$C$11)^2, (D4-$D$11)^2)</f>
        <v>212.64228011029846</v>
      </c>
      <c r="H4" s="6">
        <f t="shared" si="1"/>
        <v>14.582259088025369</v>
      </c>
      <c r="J4" s="10">
        <f>AVERAGE((B4-$B$38)^2, (C4-$C$38)^2)</f>
        <v>30.946898206250012</v>
      </c>
      <c r="K4" s="6">
        <f t="shared" si="2"/>
        <v>5.5629936370851629</v>
      </c>
      <c r="L4" s="10">
        <f>AVERAGE((B4-$B$38)^2, (C4-$C$38)^2, (D4-$D$38)^2)</f>
        <v>41.40380021166667</v>
      </c>
      <c r="M4" s="6">
        <f t="shared" si="3"/>
        <v>6.4345784797192946</v>
      </c>
      <c r="N4" s="27"/>
      <c r="O4" t="s">
        <v>28</v>
      </c>
      <c r="P4" s="27"/>
      <c r="Q4" s="28">
        <f>1-R5</f>
        <v>0.98674275088400232</v>
      </c>
      <c r="R4" t="s">
        <v>29</v>
      </c>
    </row>
    <row r="5" spans="1:20" x14ac:dyDescent="0.25">
      <c r="A5" s="5" t="s">
        <v>17</v>
      </c>
      <c r="B5" s="6">
        <f>'[1]Ronda 2 (valores sobre1)'!B5*100</f>
        <v>44.961350000000003</v>
      </c>
      <c r="C5" s="6">
        <f>'[1]Ronda 2 (valores sobre1)'!C5*100</f>
        <v>38.676569999999998</v>
      </c>
      <c r="D5" s="6">
        <f>'[1]Ronda 2 (valores sobre1)'!D5*100</f>
        <v>16.362069999999999</v>
      </c>
      <c r="E5" s="38">
        <f>AVERAGE((B5-$B$11)^2, (C5-$C$11)^2)</f>
        <v>80.625504829685994</v>
      </c>
      <c r="F5" s="6">
        <f t="shared" si="0"/>
        <v>8.9791706092314563</v>
      </c>
      <c r="G5" s="10">
        <f>AVERAGE((B5-$B$11)^2, (C5-$C$11)^2, (D5-$D$11)^2)</f>
        <v>129.11422775894329</v>
      </c>
      <c r="H5" s="6">
        <f t="shared" si="1"/>
        <v>11.362844175598964</v>
      </c>
      <c r="J5" s="38">
        <f>AVERAGE((B5-$B$38)^2, (C5-$C$38)^2)</f>
        <v>4.8455703936999903</v>
      </c>
      <c r="K5" s="39">
        <f t="shared" si="2"/>
        <v>2.2012656345157415</v>
      </c>
      <c r="L5" s="38">
        <f>AVERAGE((B5-$B$38)^2, (C5-$C$38)^2, (D5-$D$38)^2)</f>
        <v>9.5729318240999905</v>
      </c>
      <c r="M5" s="39">
        <f t="shared" si="3"/>
        <v>3.0940154854331272</v>
      </c>
      <c r="N5" s="27"/>
      <c r="O5" s="29">
        <f>O3*Q4</f>
        <v>0.5738895839141358</v>
      </c>
      <c r="P5" s="29">
        <f>P3*Q4</f>
        <v>0.41285316696986657</v>
      </c>
      <c r="Q5" s="27"/>
      <c r="R5" s="29">
        <f>165344/12471969</f>
        <v>1.3257249115997643E-2</v>
      </c>
    </row>
    <row r="6" spans="1:20" s="7" customFormat="1" x14ac:dyDescent="0.25">
      <c r="A6" s="19" t="s">
        <v>18</v>
      </c>
      <c r="B6" s="22">
        <f>'[1]Ronda 2 (valores sobre1)'!B6*100</f>
        <v>45.816829999999996</v>
      </c>
      <c r="C6" s="22">
        <f>'[1]Ronda 2 (valores sobre1)'!C6*100</f>
        <v>37.944290000000002</v>
      </c>
      <c r="D6" s="22">
        <f>'[1]Ronda 2 (valores sobre1)'!D6*100</f>
        <v>16.238869999999999</v>
      </c>
      <c r="E6" s="21">
        <f>AVERAGE((B6-$B$11)^2, (C6-$C$11)^2)</f>
        <v>72.538307448668945</v>
      </c>
      <c r="F6" s="22">
        <f t="shared" si="0"/>
        <v>8.5169423767376138</v>
      </c>
      <c r="G6" s="21">
        <f>AVERAGE((B6-$B$11)^2, (C6-$C$11)^2, (D6-$D$11)^2)</f>
        <v>122.49283710833798</v>
      </c>
      <c r="H6" s="22">
        <f t="shared" si="1"/>
        <v>11.067648219397741</v>
      </c>
      <c r="J6" s="21">
        <f>AVERAGE((B6-$B$38)^2, (C6-$C$38)^2)</f>
        <v>2.3846674265000085</v>
      </c>
      <c r="K6" s="22">
        <f t="shared" si="2"/>
        <v>1.5442368427479021</v>
      </c>
      <c r="L6" s="21">
        <f>AVERAGE((B6-$B$38)^2, (C6-$C$38)^2, (D6-$D$38)^2)</f>
        <v>7.5791179099666683</v>
      </c>
      <c r="M6" s="22">
        <f t="shared" si="3"/>
        <v>2.7530197801626248</v>
      </c>
      <c r="N6" s="30"/>
      <c r="O6" s="30"/>
      <c r="P6" s="30"/>
      <c r="Q6" s="30"/>
      <c r="R6" s="30"/>
    </row>
    <row r="7" spans="1:20" x14ac:dyDescent="0.25">
      <c r="A7" s="4" t="s">
        <v>19</v>
      </c>
      <c r="B7" s="6">
        <f>'[1]Ronda 2 (valores sobre1)'!B7*100</f>
        <v>33.333329999999997</v>
      </c>
      <c r="C7" s="6">
        <f>'[1]Ronda 2 (valores sobre1)'!C7*100</f>
        <v>66.666669999999996</v>
      </c>
      <c r="D7" s="6">
        <f>'[1]Ronda 2 (valores sobre1)'!D7*100</f>
        <v>0</v>
      </c>
      <c r="E7" s="10">
        <f>AVERAGE((B7-$B$11)^2, (C7-$C$11)^2)</f>
        <v>611.44317639908479</v>
      </c>
      <c r="F7" s="6">
        <f t="shared" si="0"/>
        <v>24.727377062662445</v>
      </c>
      <c r="G7" s="10">
        <f>AVERAGE((B7-$B$11)^2, (C7-$C$11)^2, (D7-$D$11)^2)</f>
        <v>408.21463311313528</v>
      </c>
      <c r="H7" s="6">
        <f t="shared" si="1"/>
        <v>20.204322139412035</v>
      </c>
      <c r="J7" s="10">
        <f>AVERAGE((B7-$B$38)^2, (C7-$C$38)^2)</f>
        <v>518.44458888889994</v>
      </c>
      <c r="K7" s="6">
        <f t="shared" si="2"/>
        <v>22.769378315819253</v>
      </c>
      <c r="L7" s="10">
        <f>AVERAGE((B7-$B$38)^2, (C7-$C$38)^2, (D7-$D$38)^2)</f>
        <v>393.62972592593331</v>
      </c>
      <c r="M7" s="6">
        <f t="shared" si="3"/>
        <v>19.840103979715764</v>
      </c>
      <c r="N7" s="27"/>
      <c r="O7" s="27"/>
      <c r="P7" s="27"/>
      <c r="Q7" s="27"/>
      <c r="R7" s="27"/>
    </row>
    <row r="8" spans="1:20" x14ac:dyDescent="0.25">
      <c r="A8" s="4" t="s">
        <v>20</v>
      </c>
      <c r="B8" s="6">
        <f>'[1]Ronda 2 (valores sobre1)'!B8*100</f>
        <v>33.333332999999996</v>
      </c>
      <c r="C8" s="6">
        <f>'[1]Ronda 2 (valores sobre1)'!C8*100</f>
        <v>56.75</v>
      </c>
      <c r="D8" s="6">
        <f>'[1]Ronda 2 (valores sobre1)'!D8*100</f>
        <v>9.9166670000000003</v>
      </c>
      <c r="E8" s="10">
        <f>AVERAGE((B8-$B$11)^2, (C8-$C$11)^2)</f>
        <v>408.91477131726083</v>
      </c>
      <c r="F8" s="6">
        <f t="shared" si="0"/>
        <v>20.22164116280528</v>
      </c>
      <c r="G8" s="10">
        <f>AVERAGE((B8-$B$11)^2, (C8-$C$11)^2, (D8-$D$11)^2)</f>
        <v>297.21127620025612</v>
      </c>
      <c r="H8" s="6">
        <f t="shared" si="1"/>
        <v>17.239816594159468</v>
      </c>
      <c r="J8" s="10">
        <f>AVERAGE((B8-$B$38)^2, (C8-$C$38)^2)</f>
        <v>283.33681044444455</v>
      </c>
      <c r="K8" s="6">
        <f t="shared" si="2"/>
        <v>16.832611515877282</v>
      </c>
      <c r="L8" s="10">
        <f>AVERAGE((B8-$B$38)^2, (C8-$C$38)^2, (D8-$D$38)^2)</f>
        <v>190.33796575925939</v>
      </c>
      <c r="M8" s="6">
        <f t="shared" si="3"/>
        <v>13.796302611905096</v>
      </c>
      <c r="N8" s="27"/>
      <c r="O8" s="27"/>
      <c r="P8" s="27"/>
      <c r="Q8" s="27"/>
      <c r="R8" s="27"/>
    </row>
    <row r="9" spans="1:20" s="7" customFormat="1" x14ac:dyDescent="0.25">
      <c r="A9" s="14" t="s">
        <v>21</v>
      </c>
      <c r="B9" s="25">
        <f>'[1]Ronda 2 (valores sobre1)'!B9*100</f>
        <v>47.241410000000002</v>
      </c>
      <c r="C9" s="25">
        <f>'[1]Ronda 2 (valores sobre1)'!C9*100</f>
        <v>34.703800000000001</v>
      </c>
      <c r="D9" s="24">
        <f>'[1]Ronda 2 (valores sobre1)'!D9*100</f>
        <v>18.054780000000001</v>
      </c>
      <c r="E9" s="24">
        <f>AVERAGE((B9-$B$11)^2, (C9-$C$11)^2)</f>
        <v>73.144550194397226</v>
      </c>
      <c r="F9" s="25">
        <f t="shared" si="0"/>
        <v>8.5524587221685682</v>
      </c>
      <c r="G9" s="24">
        <f>AVERAGE((B9-$B$11)^2, (C9-$C$11)^2, (D9-$D$11)^2)</f>
        <v>142.05012817984144</v>
      </c>
      <c r="H9" s="25">
        <f t="shared" si="1"/>
        <v>11.918478433921061</v>
      </c>
      <c r="J9" s="24">
        <f>AVERAGE((B9-$B$38)^2, (C9-$C$38)^2)</f>
        <v>5.7201966140499954</v>
      </c>
      <c r="K9" s="25">
        <f t="shared" si="2"/>
        <v>2.3916932524991568</v>
      </c>
      <c r="L9" s="24">
        <f>AVERAGE((B9-$B$38)^2, (C9-$C$38)^2, (D9-$D$38)^2)</f>
        <v>16.033584692166666</v>
      </c>
      <c r="M9" s="25">
        <f t="shared" si="3"/>
        <v>4.0041958858385867</v>
      </c>
      <c r="N9" s="27"/>
      <c r="O9" s="27"/>
      <c r="P9" s="27"/>
      <c r="Q9" s="27"/>
      <c r="R9" s="27"/>
      <c r="S9"/>
      <c r="T9"/>
    </row>
    <row r="10" spans="1:20" s="7" customFormat="1" x14ac:dyDescent="0.25">
      <c r="A10" s="8" t="s">
        <v>22</v>
      </c>
      <c r="B10" s="17">
        <f>'[1]Ronda 2 (valores sobre1)'!B10*100</f>
        <v>45.717770000000002</v>
      </c>
      <c r="C10" s="17">
        <f>'[1]Ronda 2 (valores sobre1)'!C10*100</f>
        <v>40.611370000000001</v>
      </c>
      <c r="D10" s="17">
        <f>'[1]Ronda 2 (valores sobre1)'!D10*100</f>
        <v>13.670850000000002</v>
      </c>
      <c r="E10" s="11">
        <f>AVERAGE((B10-$B$11)^2, (C10-$C$11)^2)</f>
        <v>68.335421309123163</v>
      </c>
      <c r="F10" s="17">
        <f t="shared" si="0"/>
        <v>8.2665241370919116</v>
      </c>
      <c r="G10" s="11">
        <f>AVERAGE((B10-$B$11)^2, (C10-$C$11)^2, (D10-$D$11)^2)</f>
        <v>96.357652022165098</v>
      </c>
      <c r="H10" s="17">
        <f t="shared" si="1"/>
        <v>9.8161933570078528</v>
      </c>
      <c r="J10" s="11">
        <f>AVERAGE((B10-$B$38)^2, (C10-$C$38)^2)</f>
        <v>6.0139135248999986</v>
      </c>
      <c r="K10" s="17">
        <f t="shared" si="2"/>
        <v>2.4523281845829685</v>
      </c>
      <c r="L10" s="11">
        <f>AVERAGE((B10-$B$38)^2, (C10-$C$38)^2, (D10-$D$38)^2)</f>
        <v>4.9398555907666672</v>
      </c>
      <c r="M10" s="17">
        <f t="shared" si="3"/>
        <v>2.2225785904589892</v>
      </c>
      <c r="N10" s="30"/>
      <c r="O10" s="30"/>
      <c r="P10" s="30"/>
      <c r="Q10" s="30"/>
      <c r="R10" s="30"/>
    </row>
    <row r="11" spans="1:20" x14ac:dyDescent="0.25">
      <c r="A11" s="9" t="s">
        <v>25</v>
      </c>
      <c r="B11" s="31">
        <f>'[1]Ronda 2 (valores sobre1)'!B11*100</f>
        <v>57.388958391413581</v>
      </c>
      <c r="C11" s="31">
        <f>'[1]Ronda 2 (valores sobre1)'!C11*100</f>
        <v>41.285316696986655</v>
      </c>
      <c r="D11" s="31">
        <f>'[1]Ronda 2 (valores sobre1)'!D11*100</f>
        <v>1.3257249115997642</v>
      </c>
      <c r="J11" s="31">
        <f>AVERAGE((B11-$B$38)^2, (C11-$C$38)^2)</f>
        <v>49.472922737597408</v>
      </c>
      <c r="K11" s="31">
        <f t="shared" si="2"/>
        <v>7.0336990792610266</v>
      </c>
      <c r="L11" s="31">
        <f>AVERAGE((B11-$B$38)^2, (C11-$C$38)^2, (D11-$D$38)^2)</f>
        <v>70.961998046012226</v>
      </c>
      <c r="M11" s="31">
        <f t="shared" si="3"/>
        <v>8.4238944702561547</v>
      </c>
    </row>
    <row r="13" spans="1:20" x14ac:dyDescent="0.25">
      <c r="A13" s="1" t="s">
        <v>74</v>
      </c>
      <c r="B13" s="12" t="s">
        <v>4</v>
      </c>
      <c r="C13" s="12" t="s">
        <v>1</v>
      </c>
      <c r="D13" s="1" t="s">
        <v>39</v>
      </c>
      <c r="E13" s="12" t="s">
        <v>77</v>
      </c>
      <c r="F13" s="12" t="s">
        <v>78</v>
      </c>
      <c r="G13" s="12" t="s">
        <v>79</v>
      </c>
      <c r="H13" s="12" t="s">
        <v>80</v>
      </c>
    </row>
    <row r="14" spans="1:20" x14ac:dyDescent="0.25">
      <c r="A14" s="2" t="s">
        <v>26</v>
      </c>
      <c r="B14" s="3">
        <f>B2</f>
        <v>48</v>
      </c>
      <c r="C14" s="3">
        <f t="shared" ref="C14:D14" si="4">C2</f>
        <v>38</v>
      </c>
      <c r="D14" s="3">
        <f t="shared" si="4"/>
        <v>12</v>
      </c>
      <c r="E14" s="3">
        <f>AVERAGE((B14-$B$11)^2, (C14-$C$11)^2)</f>
        <v>49.472922737597408</v>
      </c>
      <c r="F14" s="3">
        <f>SQRT(E14)</f>
        <v>7.0336990792610266</v>
      </c>
      <c r="G14" s="3">
        <f>AVERAGE((B14-$B$11)^2, (C14-$C$11)^2, (D14-$D$11)^2)</f>
        <v>70.961998046012226</v>
      </c>
      <c r="H14" s="3">
        <f t="shared" si="1"/>
        <v>8.4238944702561547</v>
      </c>
      <c r="J14" s="12" t="s">
        <v>77</v>
      </c>
      <c r="K14" s="12" t="s">
        <v>78</v>
      </c>
      <c r="L14" s="12" t="s">
        <v>79</v>
      </c>
      <c r="M14" s="12" t="s">
        <v>80</v>
      </c>
    </row>
    <row r="15" spans="1:20" x14ac:dyDescent="0.25">
      <c r="A15" s="5" t="s">
        <v>15</v>
      </c>
      <c r="B15" s="6">
        <f>'[1]Ronda 2 (valores sobre1)'!B15*100</f>
        <v>38.517719999999997</v>
      </c>
      <c r="C15" s="6">
        <f>'[1]Ronda 2 (valores sobre1)'!C15*100</f>
        <v>43.637219999999999</v>
      </c>
      <c r="D15" s="6">
        <f>'[1]Ronda 2 (valores sobre1)'!D15*100</f>
        <v>17.84506</v>
      </c>
      <c r="E15" s="10">
        <f>AVERAGE((B15-$B$11)^2, (C15-$C$11)^2)</f>
        <v>180.82754378614354</v>
      </c>
      <c r="F15" s="6">
        <f t="shared" ref="F15:F22" si="5">SQRT(E15)</f>
        <v>13.447213234947364</v>
      </c>
      <c r="G15" s="10">
        <f>AVERAGE((B15-$B$11)^2, (C15-$C$11)^2, (D15-$D$11)^2)</f>
        <v>211.51450644504612</v>
      </c>
      <c r="H15" s="6">
        <f t="shared" si="1"/>
        <v>14.54353830555158</v>
      </c>
      <c r="J15" s="10">
        <f>AVERAGE((B15-$B$38)^2, (C15-$C$38)^2)</f>
        <v>60.845941663400026</v>
      </c>
      <c r="K15" s="6">
        <f t="shared" ref="K15:K23" si="6">SQRT(J15)</f>
        <v>7.8003808665603005</v>
      </c>
      <c r="L15" s="10">
        <f>AVERAGE((B15-$B$38)^2, (C15-$C$38)^2, (D15-$D$38)^2)</f>
        <v>51.952203243466691</v>
      </c>
      <c r="M15" s="6">
        <f t="shared" ref="M15:M23" si="7">SQRT(L15)</f>
        <v>7.2077876802432721</v>
      </c>
    </row>
    <row r="16" spans="1:20" x14ac:dyDescent="0.25">
      <c r="A16" s="4" t="s">
        <v>16</v>
      </c>
      <c r="B16" s="6">
        <f>'[1]Ronda 2 (valores sobre1)'!B16*100</f>
        <v>40.891449999999999</v>
      </c>
      <c r="C16" s="6">
        <f>'[1]Ronda 2 (valores sobre1)'!C16*100</f>
        <v>39.473649999999999</v>
      </c>
      <c r="D16" s="6">
        <f>'[1]Ronda 2 (valores sobre1)'!D16*100</f>
        <v>19.634899999999998</v>
      </c>
      <c r="E16" s="10">
        <f>AVERAGE((B16-$B$11)^2, (C16-$C$11)^2)</f>
        <v>137.72495967286605</v>
      </c>
      <c r="F16" s="6">
        <f t="shared" si="5"/>
        <v>11.735627792021441</v>
      </c>
      <c r="G16" s="10">
        <f>AVERAGE((B16-$B$11)^2, (C16-$C$11)^2, (D16-$D$11)^2)</f>
        <v>203.55860392114263</v>
      </c>
      <c r="H16" s="6">
        <f t="shared" si="1"/>
        <v>14.26739653619898</v>
      </c>
      <c r="J16" s="10">
        <f>AVERAGE((B16-$B$38)^2, (C16-$C$38)^2)</f>
        <v>26.351563712500006</v>
      </c>
      <c r="K16" s="6">
        <f t="shared" si="6"/>
        <v>5.1333774176949047</v>
      </c>
      <c r="L16" s="10">
        <f>AVERAGE((B16-$B$38)^2, (C16-$C$38)^2, (D16-$D$38)^2)</f>
        <v>36.998275145000001</v>
      </c>
      <c r="M16" s="6">
        <f t="shared" si="7"/>
        <v>6.0826207464381667</v>
      </c>
    </row>
    <row r="17" spans="1:18" x14ac:dyDescent="0.25">
      <c r="A17" s="5" t="s">
        <v>17</v>
      </c>
      <c r="B17" s="6">
        <f>'[1]Ronda 2 (valores sobre1)'!B17*100</f>
        <v>45.0062</v>
      </c>
      <c r="C17" s="6">
        <f>'[1]Ronda 2 (valores sobre1)'!C17*100</f>
        <v>38.651799999999994</v>
      </c>
      <c r="D17" s="6">
        <f>'[1]Ronda 2 (valores sobre1)'!D17*100</f>
        <v>16.342000000000002</v>
      </c>
      <c r="E17" s="38">
        <f>AVERAGE((B17-$B$11)^2, (C17-$C$11)^2)</f>
        <v>80.134057786715488</v>
      </c>
      <c r="F17" s="6">
        <f t="shared" si="5"/>
        <v>8.951762831236957</v>
      </c>
      <c r="G17" s="10">
        <f>AVERAGE((B17-$B$11)^2, (C17-$C$11)^2, (D17-$D$11)^2)</f>
        <v>128.58554436798019</v>
      </c>
      <c r="H17" s="6">
        <f t="shared" si="1"/>
        <v>11.339556621313736</v>
      </c>
      <c r="J17" s="38">
        <f>AVERAGE((B17-$B$38)^2, (C17-$C$38)^2)</f>
        <v>4.6938408399999973</v>
      </c>
      <c r="K17" s="39">
        <f t="shared" si="6"/>
        <v>2.166527368855514</v>
      </c>
      <c r="L17" s="38">
        <f>AVERAGE((B17-$B$38)^2, (C17-$C$38)^2, (D17-$D$38)^2)</f>
        <v>9.4135485600000042</v>
      </c>
      <c r="M17" s="39">
        <f t="shared" si="7"/>
        <v>3.0681506742661782</v>
      </c>
    </row>
    <row r="18" spans="1:18" s="7" customFormat="1" x14ac:dyDescent="0.25">
      <c r="A18" s="19" t="s">
        <v>18</v>
      </c>
      <c r="B18" s="22">
        <f>'[1]Ronda 2 (valores sobre1)'!B18*100</f>
        <v>45.862740000000002</v>
      </c>
      <c r="C18" s="22">
        <f>'[1]Ronda 2 (valores sobre1)'!C18*100</f>
        <v>37.988490000000006</v>
      </c>
      <c r="D18" s="22">
        <f>'[1]Ronda 2 (valores sobre1)'!D18*100</f>
        <v>16.148770000000003</v>
      </c>
      <c r="E18" s="21">
        <f>AVERAGE((B18-$B$11)^2, (C18-$C$11)^2)</f>
        <v>71.861388338262259</v>
      </c>
      <c r="F18" s="22">
        <f t="shared" si="5"/>
        <v>8.477109668882564</v>
      </c>
      <c r="G18" s="21">
        <f>AVERAGE((B18-$B$11)^2, (C18-$C$11)^2, (D18-$D$11)^2)</f>
        <v>121.14848078975699</v>
      </c>
      <c r="H18" s="22">
        <f t="shared" si="1"/>
        <v>11.006747057589585</v>
      </c>
      <c r="J18" s="21">
        <f>AVERAGE((B18-$B$38)^2, (C18-$C$38)^2)</f>
        <v>2.284006393849995</v>
      </c>
      <c r="K18" s="22">
        <f t="shared" si="6"/>
        <v>1.5112929543440594</v>
      </c>
      <c r="L18" s="21">
        <f>AVERAGE((B18-$B$38)^2, (C18-$C$38)^2, (D18-$D$38)^2)</f>
        <v>7.2601017668666712</v>
      </c>
      <c r="M18" s="22">
        <f t="shared" si="7"/>
        <v>2.6944576016086561</v>
      </c>
    </row>
    <row r="19" spans="1:18" x14ac:dyDescent="0.25">
      <c r="A19" s="4" t="s">
        <v>19</v>
      </c>
      <c r="B19" s="6">
        <f>'[1]Ronda 2 (valores sobre1)'!B19*100</f>
        <v>33.333329999999997</v>
      </c>
      <c r="C19" s="6">
        <f>'[1]Ronda 2 (valores sobre1)'!C19*100</f>
        <v>66.666669999999996</v>
      </c>
      <c r="D19" s="6">
        <f>'[1]Ronda 2 (valores sobre1)'!D19*100</f>
        <v>0</v>
      </c>
      <c r="E19" s="10">
        <f>AVERAGE((B19-$B$11)^2, (C19-$C$11)^2)</f>
        <v>611.44317639908479</v>
      </c>
      <c r="F19" s="6">
        <f t="shared" si="5"/>
        <v>24.727377062662445</v>
      </c>
      <c r="G19" s="10">
        <f>AVERAGE((B19-$B$11)^2, (C19-$C$11)^2, (D19-$D$11)^2)</f>
        <v>408.21463311313528</v>
      </c>
      <c r="H19" s="6">
        <f t="shared" si="1"/>
        <v>20.204322139412035</v>
      </c>
      <c r="J19" s="10">
        <f>AVERAGE((B19-$B$38)^2, (C19-$C$38)^2)</f>
        <v>518.44458888889994</v>
      </c>
      <c r="K19" s="6">
        <f t="shared" si="6"/>
        <v>22.769378315819253</v>
      </c>
      <c r="L19" s="10">
        <f>AVERAGE((B19-$B$38)^2, (C19-$C$38)^2, (D19-$D$38)^2)</f>
        <v>393.62972592593331</v>
      </c>
      <c r="M19" s="6">
        <f t="shared" si="7"/>
        <v>19.840103979715764</v>
      </c>
    </row>
    <row r="20" spans="1:18" x14ac:dyDescent="0.25">
      <c r="A20" s="4" t="s">
        <v>20</v>
      </c>
      <c r="B20" s="6">
        <f>'[1]Ronda 2 (valores sobre1)'!B20*100</f>
        <v>33.333329999999997</v>
      </c>
      <c r="C20" s="6">
        <f>'[1]Ronda 2 (valores sobre1)'!C20*100</f>
        <v>54.156749999999995</v>
      </c>
      <c r="D20" s="6">
        <f>'[1]Ronda 2 (valores sobre1)'!D20*100</f>
        <v>12.50991</v>
      </c>
      <c r="E20" s="10">
        <f>AVERAGE((B20-$B$11)^2, (C20-$C$11)^2)</f>
        <v>372.17352628985213</v>
      </c>
      <c r="F20" s="6">
        <f t="shared" si="5"/>
        <v>19.291799457019351</v>
      </c>
      <c r="G20" s="10">
        <f>AVERAGE((B20-$B$11)^2, (C20-$C$11)^2, (D20-$D$11)^2)</f>
        <v>289.81101622376616</v>
      </c>
      <c r="H20" s="6">
        <f t="shared" si="1"/>
        <v>17.02383670691675</v>
      </c>
      <c r="J20" s="10">
        <f>AVERAGE((B20-$B$38)^2, (C20-$C$38)^2)</f>
        <v>238.07588972569999</v>
      </c>
      <c r="K20" s="6">
        <f t="shared" si="6"/>
        <v>15.429708024641943</v>
      </c>
      <c r="L20" s="10">
        <f>AVERAGE((B20-$B$38)^2, (C20-$C$38)^2, (D20-$D$38)^2)</f>
        <v>158.80392921983332</v>
      </c>
      <c r="M20" s="6">
        <f t="shared" si="7"/>
        <v>12.601743102437588</v>
      </c>
    </row>
    <row r="21" spans="1:18" s="7" customFormat="1" x14ac:dyDescent="0.25">
      <c r="A21" s="14" t="s">
        <v>21</v>
      </c>
      <c r="B21" s="25">
        <f>'[1]Ronda 2 (valores sobre1)'!B21*100</f>
        <v>47.503370000000004</v>
      </c>
      <c r="C21" s="25">
        <f>'[1]Ronda 2 (valores sobre1)'!C21*100</f>
        <v>34.62415</v>
      </c>
      <c r="D21" s="24">
        <f>'[1]Ronda 2 (valores sobre1)'!D21*100</f>
        <v>17.872479999999999</v>
      </c>
      <c r="E21" s="24">
        <f>AVERAGE((B21-$B$11)^2, (C21-$C$11)^2)</f>
        <v>71.047999804747491</v>
      </c>
      <c r="F21" s="25">
        <f t="shared" si="5"/>
        <v>8.428997556337734</v>
      </c>
      <c r="G21" s="24">
        <f>AVERAGE((B21-$B$11)^2, (C21-$C$11)^2, (D21-$D$11)^2)</f>
        <v>138.63036785499801</v>
      </c>
      <c r="H21" s="25">
        <f t="shared" si="1"/>
        <v>11.774139792570752</v>
      </c>
      <c r="J21" s="24">
        <f>AVERAGE((B21-$B$38)^2, (C21-$C$38)^2)</f>
        <v>5.8215022896999971</v>
      </c>
      <c r="K21" s="25">
        <f t="shared" si="6"/>
        <v>2.4127789558308064</v>
      </c>
      <c r="L21" s="24">
        <f>AVERAGE((B21-$B$38)^2, (C21-$C$38)^2, (D21-$D$38)^2)</f>
        <v>15.376341976599996</v>
      </c>
      <c r="M21" s="25">
        <f t="shared" si="7"/>
        <v>3.9212679042115952</v>
      </c>
    </row>
    <row r="22" spans="1:18" s="7" customFormat="1" x14ac:dyDescent="0.25">
      <c r="A22" s="8" t="s">
        <v>22</v>
      </c>
      <c r="B22" s="17">
        <f>'[1]Ronda 2 (valores sobre1)'!B22*100</f>
        <v>46.689279999999997</v>
      </c>
      <c r="C22" s="17">
        <f>'[1]Ronda 2 (valores sobre1)'!C22*100</f>
        <v>39.878479999999996</v>
      </c>
      <c r="D22" s="17">
        <f>'[1]Ronda 2 (valores sobre1)'!D22*100</f>
        <v>13.43224</v>
      </c>
      <c r="E22" s="11">
        <f>AVERAGE((B22-$B$11)^2, (C22-$C$11)^2)</f>
        <v>58.231153585835564</v>
      </c>
      <c r="F22" s="17">
        <f t="shared" si="5"/>
        <v>7.6309339917100294</v>
      </c>
      <c r="G22" s="11">
        <f>AVERAGE((B22-$B$11)^2, (C22-$C$11)^2, (D22-$D$11)^2)</f>
        <v>87.67667158577791</v>
      </c>
      <c r="H22" s="17">
        <f t="shared" si="1"/>
        <v>9.3635821983778147</v>
      </c>
      <c r="J22" s="11">
        <f>AVERAGE((B22-$B$38)^2, (C22-$C$38)^2)</f>
        <v>2.6233370143999974</v>
      </c>
      <c r="K22" s="17">
        <f t="shared" si="6"/>
        <v>1.6196718847964231</v>
      </c>
      <c r="L22" s="11">
        <f>AVERAGE((B22-$B$38)^2, (C22-$C$38)^2, (D22-$D$38)^2)</f>
        <v>2.4326618154666648</v>
      </c>
      <c r="M22" s="17">
        <f t="shared" si="7"/>
        <v>1.5596992708425124</v>
      </c>
    </row>
    <row r="23" spans="1:18" x14ac:dyDescent="0.25">
      <c r="A23" s="9" t="s">
        <v>25</v>
      </c>
      <c r="B23" s="31">
        <f>'[1]Ronda 2 (valores sobre1)'!B23*100</f>
        <v>57.388958391413581</v>
      </c>
      <c r="C23" s="31">
        <f>'[1]Ronda 2 (valores sobre1)'!C23*100</f>
        <v>41.285316696986655</v>
      </c>
      <c r="D23" s="31">
        <f>'[1]Ronda 2 (valores sobre1)'!D23*100</f>
        <v>1.3257249115997642</v>
      </c>
      <c r="J23" s="31">
        <f>AVERAGE((B23-$B$38)^2, (C23-$C$38)^2)</f>
        <v>49.472922737597408</v>
      </c>
      <c r="K23" s="31">
        <f t="shared" si="6"/>
        <v>7.0336990792610266</v>
      </c>
      <c r="L23" s="31">
        <f>AVERAGE((B23-$B$38)^2, (C23-$C$38)^2, (D23-$D$38)^2)</f>
        <v>70.961998046012226</v>
      </c>
      <c r="M23" s="31">
        <f t="shared" si="7"/>
        <v>8.4238944702561547</v>
      </c>
    </row>
    <row r="25" spans="1:18" x14ac:dyDescent="0.25">
      <c r="A25" s="1" t="s">
        <v>75</v>
      </c>
      <c r="B25" s="12" t="s">
        <v>4</v>
      </c>
      <c r="C25" s="12" t="s">
        <v>1</v>
      </c>
      <c r="D25" s="1" t="s">
        <v>39</v>
      </c>
      <c r="E25" s="12" t="s">
        <v>77</v>
      </c>
      <c r="F25" s="12" t="s">
        <v>78</v>
      </c>
      <c r="G25" s="12" t="s">
        <v>79</v>
      </c>
      <c r="H25" s="12" t="s">
        <v>80</v>
      </c>
    </row>
    <row r="26" spans="1:18" x14ac:dyDescent="0.25">
      <c r="A26" s="2" t="s">
        <v>26</v>
      </c>
      <c r="B26" s="3">
        <f>B2</f>
        <v>48</v>
      </c>
      <c r="C26" s="3">
        <f t="shared" ref="C26:D26" si="8">C2</f>
        <v>38</v>
      </c>
      <c r="D26" s="3">
        <f t="shared" si="8"/>
        <v>12</v>
      </c>
      <c r="E26" s="3">
        <f>AVERAGE((B26-$B$11)^2, (C26-$C$11)^2)</f>
        <v>49.472922737597408</v>
      </c>
      <c r="F26" s="3">
        <f>SQRT(E26)</f>
        <v>7.0336990792610266</v>
      </c>
      <c r="G26" s="3">
        <f>AVERAGE((B26-$B$11)^2, (C26-$C$11)^2, (D26-$D$11)^2)</f>
        <v>70.961998046012226</v>
      </c>
      <c r="H26" s="3">
        <f t="shared" si="1"/>
        <v>8.4238944702561547</v>
      </c>
      <c r="J26" s="12" t="s">
        <v>77</v>
      </c>
      <c r="K26" s="12" t="s">
        <v>78</v>
      </c>
      <c r="L26" s="12" t="s">
        <v>79</v>
      </c>
      <c r="M26" s="12" t="s">
        <v>80</v>
      </c>
    </row>
    <row r="27" spans="1:18" x14ac:dyDescent="0.25">
      <c r="A27" s="5" t="s">
        <v>15</v>
      </c>
      <c r="B27" s="6">
        <f>'[1]Ronda 2 (valores sobre1)'!B27*100</f>
        <v>38.425930000000001</v>
      </c>
      <c r="C27" s="6">
        <f>'[1]Ronda 2 (valores sobre1)'!C27*100</f>
        <v>43.353169999999999</v>
      </c>
      <c r="D27" s="6">
        <f>'[1]Ronda 2 (valores sobre1)'!D27*100</f>
        <v>18.2209</v>
      </c>
      <c r="E27" s="10">
        <f>AVERAGE((B27-$B$11)^2, (C27-$C$11)^2)</f>
        <v>181.93623152817034</v>
      </c>
      <c r="F27" s="6">
        <f t="shared" ref="F27:F34" si="9">SQRT(E27)</f>
        <v>13.488373939366092</v>
      </c>
      <c r="G27" s="10">
        <f>AVERAGE((B27-$B$11)^2, (C27-$C$11)^2, (D27-$D$11)^2)</f>
        <v>216.43980144134684</v>
      </c>
      <c r="H27" s="6">
        <f t="shared" si="1"/>
        <v>14.711893197047987</v>
      </c>
      <c r="J27" s="10">
        <f>AVERAGE((B27-$B$38)^2, (C27-$C$38)^2)</f>
        <v>60.159622706899981</v>
      </c>
      <c r="K27" s="6">
        <f t="shared" ref="K27:K35" si="10">SQRT(J27)</f>
        <v>7.756263450070529</v>
      </c>
      <c r="L27" s="10">
        <f>AVERAGE((B27-$B$38)^2, (C27-$C$38)^2, (D27-$D$38)^2)</f>
        <v>53.006280741266657</v>
      </c>
      <c r="M27" s="6">
        <f t="shared" ref="M27:M35" si="11">SQRT(L27)</f>
        <v>7.2805412395828553</v>
      </c>
    </row>
    <row r="28" spans="1:18" x14ac:dyDescent="0.25">
      <c r="A28" s="4" t="s">
        <v>16</v>
      </c>
      <c r="B28" s="6">
        <f>'[1]Ronda 2 (valores sobre1)'!B28*100</f>
        <v>40.847280000000005</v>
      </c>
      <c r="C28" s="6">
        <f>'[1]Ronda 2 (valores sobre1)'!C28*100</f>
        <v>39.330539999999999</v>
      </c>
      <c r="D28" s="6">
        <f>'[1]Ronda 2 (valores sobre1)'!D28*100</f>
        <v>19.822179999999999</v>
      </c>
      <c r="E28" s="10">
        <f>AVERAGE((B28-$B$11)^2, (C28-$C$11)^2)</f>
        <v>138.72413797002045</v>
      </c>
      <c r="F28" s="6">
        <f t="shared" si="9"/>
        <v>11.778121156195517</v>
      </c>
      <c r="G28" s="10">
        <f>AVERAGE((B28-$B$11)^2, (C28-$C$11)^2, (D28-$D$11)^2)</f>
        <v>206.52237559241598</v>
      </c>
      <c r="H28" s="6">
        <f t="shared" si="1"/>
        <v>14.370886388543191</v>
      </c>
      <c r="J28" s="10">
        <f>AVERAGE((B28-$B$38)^2, (C28-$C$38)^2)</f>
        <v>26.465870044999964</v>
      </c>
      <c r="K28" s="6">
        <f t="shared" si="10"/>
        <v>5.1444990081639599</v>
      </c>
      <c r="L28" s="10">
        <f>AVERAGE((B28-$B$38)^2, (C28-$C$38)^2, (D28-$D$38)^2)</f>
        <v>38.039413347466642</v>
      </c>
      <c r="M28" s="6">
        <f t="shared" si="11"/>
        <v>6.1676100190808629</v>
      </c>
    </row>
    <row r="29" spans="1:18" x14ac:dyDescent="0.25">
      <c r="A29" s="5" t="s">
        <v>17</v>
      </c>
      <c r="B29" s="6">
        <f>'[1]Ronda 2 (valores sobre1)'!B29*100</f>
        <v>45.11956</v>
      </c>
      <c r="C29" s="6">
        <f>'[1]Ronda 2 (valores sobre1)'!C29*100</f>
        <v>38.533909999999999</v>
      </c>
      <c r="D29" s="6">
        <f>'[1]Ronda 2 (valores sobre1)'!D29*100</f>
        <v>16.346530000000001</v>
      </c>
      <c r="E29" s="38">
        <f>AVERAGE((B29-$B$11)^2, (C29-$C$11)^2)</f>
        <v>79.054187849722595</v>
      </c>
      <c r="F29" s="6">
        <f t="shared" si="9"/>
        <v>8.8912421994748634</v>
      </c>
      <c r="G29" s="10">
        <f>AVERAGE((B29-$B$11)^2, (C29-$C$11)^2, (D29-$D$11)^2)</f>
        <v>127.91098706771857</v>
      </c>
      <c r="H29" s="6">
        <f t="shared" si="1"/>
        <v>11.309773961831358</v>
      </c>
      <c r="J29" s="38">
        <f>AVERAGE((B29-$B$38)^2, (C29-$C$38)^2)</f>
        <v>4.2909972408500003</v>
      </c>
      <c r="K29" s="39">
        <f t="shared" si="10"/>
        <v>2.071472239941921</v>
      </c>
      <c r="L29" s="38">
        <f>AVERAGE((B29-$B$38)^2, (C29-$C$38)^2, (D29-$D$38)^2)</f>
        <v>9.1581058408666713</v>
      </c>
      <c r="M29" s="39">
        <f t="shared" si="11"/>
        <v>3.0262362500086923</v>
      </c>
      <c r="R29" t="s">
        <v>13</v>
      </c>
    </row>
    <row r="30" spans="1:18" s="7" customFormat="1" x14ac:dyDescent="0.25">
      <c r="A30" s="19" t="s">
        <v>18</v>
      </c>
      <c r="B30" s="22">
        <f>'[1]Ronda 2 (valores sobre1)'!B30*100</f>
        <v>46.00188</v>
      </c>
      <c r="C30" s="22">
        <f>'[1]Ronda 2 (valores sobre1)'!C30*100</f>
        <v>37.974289999999996</v>
      </c>
      <c r="D30" s="22">
        <f>'[1]Ronda 2 (valores sobre1)'!D30*100</f>
        <v>16.02383</v>
      </c>
      <c r="E30" s="21">
        <f>AVERAGE((B30-$B$11)^2, (C30-$C$11)^2)</f>
        <v>70.314226040178255</v>
      </c>
      <c r="F30" s="22">
        <f t="shared" si="9"/>
        <v>8.3853578361438021</v>
      </c>
      <c r="G30" s="21">
        <f>AVERAGE((B30-$B$11)^2, (C30-$C$11)^2, (D30-$D$11)^2)</f>
        <v>118.88758175667114</v>
      </c>
      <c r="H30" s="22">
        <f t="shared" si="1"/>
        <v>10.903558215402491</v>
      </c>
      <c r="J30" s="21">
        <f>AVERAGE((B30-$B$38)^2, (C30-$C$38)^2)</f>
        <v>1.9965722692500003</v>
      </c>
      <c r="K30" s="22">
        <f t="shared" si="10"/>
        <v>1.4130011568466603</v>
      </c>
      <c r="L30" s="21">
        <f>AVERAGE((B30-$B$38)^2, (C30-$C$38)^2, (D30-$D$38)^2)</f>
        <v>6.7281174691333341</v>
      </c>
      <c r="M30" s="22">
        <f t="shared" si="11"/>
        <v>2.5938614976774175</v>
      </c>
    </row>
    <row r="31" spans="1:18" x14ac:dyDescent="0.25">
      <c r="A31" s="4" t="s">
        <v>19</v>
      </c>
      <c r="B31" s="6">
        <f>'[1]Ronda 2 (valores sobre1)'!B31*100</f>
        <v>33.333329999999997</v>
      </c>
      <c r="C31" s="6">
        <f>'[1]Ronda 2 (valores sobre1)'!C31*100</f>
        <v>66.666669999999996</v>
      </c>
      <c r="D31" s="6">
        <f>'[1]Ronda 2 (valores sobre1)'!D31*100</f>
        <v>0</v>
      </c>
      <c r="E31" s="10">
        <f>AVERAGE((B31-$B$11)^2, (C31-$C$11)^2)</f>
        <v>611.44317639908479</v>
      </c>
      <c r="F31" s="6">
        <f t="shared" si="9"/>
        <v>24.727377062662445</v>
      </c>
      <c r="G31" s="10">
        <f>AVERAGE((B31-$B$11)^2, (C31-$C$11)^2, (D31-$D$11)^2)</f>
        <v>408.21463311313528</v>
      </c>
      <c r="H31" s="6">
        <f t="shared" si="1"/>
        <v>20.204322139412035</v>
      </c>
      <c r="J31" s="10">
        <f>AVERAGE((B31-$B$38)^2, (C31-$C$38)^2)</f>
        <v>518.44458888889994</v>
      </c>
      <c r="K31" s="6">
        <f t="shared" si="10"/>
        <v>22.769378315819253</v>
      </c>
      <c r="L31" s="10">
        <f>AVERAGE((B31-$B$38)^2, (C31-$C$38)^2, (D31-$D$38)^2)</f>
        <v>393.62972592593331</v>
      </c>
      <c r="M31" s="6">
        <f t="shared" si="11"/>
        <v>19.840103979715764</v>
      </c>
    </row>
    <row r="32" spans="1:18" s="7" customFormat="1" x14ac:dyDescent="0.25">
      <c r="A32" s="4" t="s">
        <v>20</v>
      </c>
      <c r="B32" s="6">
        <f>'[1]Ronda 2 (valores sobre1)'!B32*100</f>
        <v>33.333329999999997</v>
      </c>
      <c r="C32" s="6">
        <f>'[1]Ronda 2 (valores sobre1)'!C32*100</f>
        <v>54.231969999999997</v>
      </c>
      <c r="D32" s="6">
        <f>'[1]Ronda 2 (valores sobre1)'!D32*100</f>
        <v>12.43469</v>
      </c>
      <c r="E32" s="10">
        <f>AVERAGE((B32-$B$11)^2, (C32-$C$11)^2)</f>
        <v>373.14454452710481</v>
      </c>
      <c r="F32" s="6">
        <f t="shared" si="9"/>
        <v>19.316949669321623</v>
      </c>
      <c r="G32" s="10">
        <f>AVERAGE((B32-$B$11)^2, (C32-$C$11)^2, (D32-$D$11)^2)</f>
        <v>289.89939812983499</v>
      </c>
      <c r="H32" s="6">
        <f t="shared" si="1"/>
        <v>17.02643233709972</v>
      </c>
      <c r="J32" s="10">
        <f>AVERAGE((B32-$B$38)^2, (C32-$C$38)^2)</f>
        <v>239.29402948490002</v>
      </c>
      <c r="K32" s="6">
        <f t="shared" si="10"/>
        <v>15.469131503898337</v>
      </c>
      <c r="L32" s="10">
        <f>AVERAGE((B32-$B$38)^2, (C32-$C$38)^2, (D32-$D$38)^2)</f>
        <v>159.59233812196669</v>
      </c>
      <c r="M32" s="6">
        <f t="shared" si="11"/>
        <v>12.632986112632542</v>
      </c>
    </row>
    <row r="33" spans="1:13" s="7" customFormat="1" x14ac:dyDescent="0.25">
      <c r="A33" s="14" t="s">
        <v>21</v>
      </c>
      <c r="B33" s="25">
        <f>'[1]Ronda 2 (valores sobre1)'!B33*100</f>
        <v>47.536790000000003</v>
      </c>
      <c r="C33" s="25">
        <f>'[1]Ronda 2 (valores sobre1)'!C33*100</f>
        <v>34.612920000000003</v>
      </c>
      <c r="D33" s="24">
        <f>'[1]Ronda 2 (valores sobre1)'!D33*100</f>
        <v>17.850289999999998</v>
      </c>
      <c r="E33" s="24">
        <f>AVERAGE((B33-$B$11)^2, (C33-$C$11)^2)</f>
        <v>70.793049847363591</v>
      </c>
      <c r="F33" s="25">
        <f t="shared" si="9"/>
        <v>8.41386057926821</v>
      </c>
      <c r="G33" s="24">
        <f>AVERAGE((B33-$B$11)^2, (C33-$C$11)^2, (D33-$D$11)^2)</f>
        <v>138.21578368516768</v>
      </c>
      <c r="H33" s="25">
        <f t="shared" si="1"/>
        <v>11.756520900554197</v>
      </c>
      <c r="J33" s="24">
        <f>AVERAGE((B33-$B$38)^2, (C33-$C$38)^2)</f>
        <v>5.84343721524999</v>
      </c>
      <c r="K33" s="25">
        <f t="shared" si="10"/>
        <v>2.4173202550034594</v>
      </c>
      <c r="L33" s="24">
        <f>AVERAGE((B33-$B$38)^2, (C33-$C$38)^2, (D33-$D$38)^2)</f>
        <v>15.304255838199984</v>
      </c>
      <c r="M33" s="25">
        <f t="shared" si="11"/>
        <v>3.9120654184458603</v>
      </c>
    </row>
    <row r="34" spans="1:13" s="7" customFormat="1" x14ac:dyDescent="0.25">
      <c r="A34" s="8" t="s">
        <v>22</v>
      </c>
      <c r="B34" s="17">
        <f>'[1]Ronda 2 (valores sobre1)'!B34*100</f>
        <v>46.438360000000003</v>
      </c>
      <c r="C34" s="17">
        <f>'[1]Ronda 2 (valores sobre1)'!C34*100</f>
        <v>40</v>
      </c>
      <c r="D34" s="17">
        <f>'[1]Ronda 2 (valores sobre1)'!D34*100</f>
        <v>13.561640000000001</v>
      </c>
      <c r="E34" s="11">
        <f>AVERAGE((B34-$B$11)^2, (C34-$C$11)^2)</f>
        <v>60.783822070791167</v>
      </c>
      <c r="F34" s="17">
        <f t="shared" si="9"/>
        <v>7.7963980190079551</v>
      </c>
      <c r="G34" s="11">
        <f>AVERAGE((B34-$B$11)^2, (C34-$C$11)^2, (D34-$D$11)^2)</f>
        <v>90.428420730707629</v>
      </c>
      <c r="H34" s="17">
        <f t="shared" si="1"/>
        <v>9.5093859281610627</v>
      </c>
      <c r="J34" s="11">
        <f>AVERAGE((B34-$B$38)^2, (C34-$C$38)^2)</f>
        <v>3.2193597447999953</v>
      </c>
      <c r="K34" s="17">
        <f t="shared" si="10"/>
        <v>1.7942574354868912</v>
      </c>
      <c r="L34" s="11">
        <f>AVERAGE((B34-$B$38)^2, (C34-$C$38)^2, (D34-$D$38)^2)</f>
        <v>2.9591463263999973</v>
      </c>
      <c r="M34" s="17">
        <f t="shared" si="11"/>
        <v>1.7202169416675321</v>
      </c>
    </row>
    <row r="35" spans="1:13" x14ac:dyDescent="0.25">
      <c r="A35" s="9" t="s">
        <v>25</v>
      </c>
      <c r="B35" s="31">
        <f>'[1]Ronda 2 (valores sobre1)'!B35*100</f>
        <v>57.388958391413581</v>
      </c>
      <c r="C35" s="31">
        <f>'[1]Ronda 2 (valores sobre1)'!C35*100</f>
        <v>41.285316696986655</v>
      </c>
      <c r="D35" s="31">
        <f>'[1]Ronda 2 (valores sobre1)'!D35*100</f>
        <v>1.3257249115997642</v>
      </c>
      <c r="J35" s="31">
        <f>AVERAGE((B35-$B$38)^2, (C35-$C$38)^2)</f>
        <v>49.472922737597408</v>
      </c>
      <c r="K35" s="31">
        <f t="shared" si="10"/>
        <v>7.0336990792610266</v>
      </c>
      <c r="L35" s="31">
        <f>AVERAGE((B35-$B$38)^2, (C35-$C$38)^2, (D35-$D$38)^2)</f>
        <v>70.961998046012226</v>
      </c>
      <c r="M35" s="31">
        <f t="shared" si="11"/>
        <v>8.4238944702561547</v>
      </c>
    </row>
    <row r="37" spans="1:13" x14ac:dyDescent="0.25">
      <c r="A37" s="40" t="s">
        <v>76</v>
      </c>
      <c r="B37" s="12" t="s">
        <v>4</v>
      </c>
      <c r="C37" s="12" t="s">
        <v>1</v>
      </c>
      <c r="D37" s="1" t="s">
        <v>39</v>
      </c>
      <c r="E37" s="12" t="s">
        <v>77</v>
      </c>
      <c r="F37" s="12" t="s">
        <v>78</v>
      </c>
      <c r="G37" s="12" t="s">
        <v>79</v>
      </c>
      <c r="H37" s="12" t="s">
        <v>80</v>
      </c>
    </row>
    <row r="38" spans="1:13" x14ac:dyDescent="0.25">
      <c r="A38" s="2" t="s">
        <v>26</v>
      </c>
      <c r="B38" s="3">
        <f>B2</f>
        <v>48</v>
      </c>
      <c r="C38" s="3">
        <f t="shared" ref="C38:D38" si="12">C2</f>
        <v>38</v>
      </c>
      <c r="D38" s="3">
        <f t="shared" si="12"/>
        <v>12</v>
      </c>
      <c r="E38" s="3">
        <f>AVERAGE((B38-$B$11)^2, (C38-$C$11)^2)</f>
        <v>49.472922737597408</v>
      </c>
      <c r="F38" s="3">
        <f>SQRT(E38)</f>
        <v>7.0336990792610266</v>
      </c>
      <c r="G38" s="3">
        <f>AVERAGE((B38-$B$11)^2, (C38-$C$11)^2, (D38-$D$11)^2)</f>
        <v>70.961998046012226</v>
      </c>
      <c r="H38" s="3">
        <f t="shared" si="1"/>
        <v>8.4238944702561547</v>
      </c>
      <c r="J38" s="12" t="s">
        <v>77</v>
      </c>
      <c r="K38" s="12" t="s">
        <v>78</v>
      </c>
      <c r="L38" s="12" t="s">
        <v>79</v>
      </c>
      <c r="M38" s="12" t="s">
        <v>80</v>
      </c>
    </row>
    <row r="39" spans="1:13" x14ac:dyDescent="0.25">
      <c r="A39" s="5" t="s">
        <v>15</v>
      </c>
      <c r="B39" s="6">
        <f>'[1]Ronda 2 (valores sobre1)'!B39*100</f>
        <v>38.555909999999997</v>
      </c>
      <c r="C39" s="6">
        <f>'[1]Ronda 2 (valores sobre1)'!C39*100</f>
        <v>43.661180000000002</v>
      </c>
      <c r="D39" s="6">
        <f>'[1]Ronda 2 (valores sobre1)'!D39*100</f>
        <v>17.782909999999998</v>
      </c>
      <c r="E39" s="10">
        <f>AVERAGE((B39-$B$11)^2, (C39-$C$11)^2)</f>
        <v>180.16421907396565</v>
      </c>
      <c r="F39" s="6">
        <f t="shared" ref="F39:F46" si="13">SQRT(E39)</f>
        <v>13.422526553297097</v>
      </c>
      <c r="G39" s="10">
        <f>AVERAGE((B39-$B$11)^2, (C39-$C$11)^2, (D39-$D$11)^2)</f>
        <v>210.38912639393143</v>
      </c>
      <c r="H39" s="6">
        <f t="shared" si="1"/>
        <v>14.504796668479411</v>
      </c>
      <c r="J39" s="10">
        <f>AVERAGE((B39-$B$38)^2, (C39-$C$38)^2)</f>
        <v>60.619897460250037</v>
      </c>
      <c r="K39" s="6">
        <f t="shared" ref="K39:K47" si="14">SQRT(J39)</f>
        <v>7.7858780789484516</v>
      </c>
      <c r="L39" s="10">
        <f>AVERAGE((B39-$B$38)^2, (C39-$C$38)^2, (D39-$D$38)^2)</f>
        <v>51.560614329533344</v>
      </c>
      <c r="M39" s="6">
        <f t="shared" ref="M39:M46" si="15">SQRT(L39)</f>
        <v>7.1805720057341773</v>
      </c>
    </row>
    <row r="40" spans="1:13" x14ac:dyDescent="0.25">
      <c r="A40" s="4" t="s">
        <v>16</v>
      </c>
      <c r="B40" s="6">
        <f>'[1]Ronda 2 (valores sobre1)'!B40*100</f>
        <v>41.000120000000003</v>
      </c>
      <c r="C40" s="6">
        <f>'[1]Ronda 2 (valores sobre1)'!C40*100</f>
        <v>39.422890000000002</v>
      </c>
      <c r="D40" s="6">
        <f>'[1]Ronda 2 (valores sobre1)'!D40*100</f>
        <v>19.576989999999999</v>
      </c>
      <c r="E40" s="10">
        <f>AVERAGE((B40-$B$11)^2, (C40-$C$11)^2)</f>
        <v>136.03132851076012</v>
      </c>
      <c r="F40" s="6">
        <f t="shared" si="13"/>
        <v>11.663246911163293</v>
      </c>
      <c r="G40" s="10">
        <f>AVERAGE((B40-$B$11)^2, (C40-$C$11)^2, (D40-$D$11)^2)</f>
        <v>201.72377811619251</v>
      </c>
      <c r="H40" s="6">
        <f t="shared" si="1"/>
        <v>14.202949627320113</v>
      </c>
      <c r="J40" s="10">
        <f>AVERAGE((B40-$B$38)^2, (C40-$C$38)^2)</f>
        <v>25.511467983249986</v>
      </c>
      <c r="K40" s="6">
        <f t="shared" si="14"/>
        <v>5.0508878410879392</v>
      </c>
      <c r="L40" s="10">
        <f>AVERAGE((B40-$B$38)^2, (C40-$C$38)^2, (D40-$D$38)^2)</f>
        <v>36.144571142199986</v>
      </c>
      <c r="M40" s="6">
        <f t="shared" si="15"/>
        <v>6.0120355240301091</v>
      </c>
    </row>
    <row r="41" spans="1:13" x14ac:dyDescent="0.25">
      <c r="A41" s="5" t="s">
        <v>17</v>
      </c>
      <c r="B41" s="6">
        <f>'[1]Ronda 2 (valores sobre1)'!B41*100</f>
        <v>44.998129999999996</v>
      </c>
      <c r="C41" s="6">
        <f>'[1]Ronda 2 (valores sobre1)'!C41*100</f>
        <v>38.64987</v>
      </c>
      <c r="D41" s="6">
        <f>'[1]Ronda 2 (valores sobre1)'!D41*100</f>
        <v>16.352</v>
      </c>
      <c r="E41" s="38">
        <f>AVERAGE((B41-$B$11)^2, (C41-$C$11)^2)</f>
        <v>80.239103759059418</v>
      </c>
      <c r="F41" s="6">
        <f t="shared" si="13"/>
        <v>8.9576282440755168</v>
      </c>
      <c r="G41" s="10">
        <f>AVERAGE((B41-$B$11)^2, (C41-$C$11)^2, (D41-$D$11)^2)</f>
        <v>128.75571685013213</v>
      </c>
      <c r="H41" s="6">
        <f t="shared" si="1"/>
        <v>11.347057629629459</v>
      </c>
      <c r="J41" s="38">
        <f>AVERAGE((B41-$B$38)^2, (C41-$C$38)^2)</f>
        <v>4.716777256900011</v>
      </c>
      <c r="K41" s="39">
        <f t="shared" si="14"/>
        <v>2.1718142777180582</v>
      </c>
      <c r="L41" s="38">
        <f>AVERAGE((B41-$B$38)^2, (C41-$C$38)^2, (D41-$D$38)^2)</f>
        <v>9.4578195046000086</v>
      </c>
      <c r="M41" s="39">
        <f t="shared" si="15"/>
        <v>3.0753568093149792</v>
      </c>
    </row>
    <row r="42" spans="1:13" s="7" customFormat="1" x14ac:dyDescent="0.25">
      <c r="A42" s="19" t="s">
        <v>18</v>
      </c>
      <c r="B42" s="22">
        <f>'[1]Ronda 2 (valores sobre1)'!B42*100</f>
        <v>45.857419999999998</v>
      </c>
      <c r="C42" s="22">
        <f>'[1]Ronda 2 (valores sobre1)'!C42*100</f>
        <v>37.997409999999995</v>
      </c>
      <c r="D42" s="22">
        <f>'[1]Ronda 2 (valores sobre1)'!D42*100</f>
        <v>16.14517</v>
      </c>
      <c r="E42" s="21">
        <f>AVERAGE((B42-$B$11)^2, (C42-$C$11)^2)</f>
        <v>71.893354060367557</v>
      </c>
      <c r="F42" s="22">
        <f t="shared" si="13"/>
        <v>8.4789948732363065</v>
      </c>
      <c r="G42" s="21">
        <f>AVERAGE((B42-$B$11)^2, (C42-$C$11)^2, (D42-$D$11)^2)</f>
        <v>121.13422028294833</v>
      </c>
      <c r="H42" s="22">
        <f t="shared" si="1"/>
        <v>11.006099231014971</v>
      </c>
      <c r="J42" s="21">
        <f>AVERAGE((B42-$B$38)^2, (C42-$C$38)^2)</f>
        <v>2.2953278822500049</v>
      </c>
      <c r="K42" s="22">
        <f t="shared" si="14"/>
        <v>1.5150339541574653</v>
      </c>
      <c r="L42" s="21">
        <f>AVERAGE((B42-$B$38)^2, (C42-$C$38)^2, (D42-$D$38)^2)</f>
        <v>7.2576966978000037</v>
      </c>
      <c r="M42" s="22">
        <f t="shared" si="15"/>
        <v>2.6940112653439301</v>
      </c>
    </row>
    <row r="43" spans="1:13" x14ac:dyDescent="0.25">
      <c r="A43" s="4" t="s">
        <v>19</v>
      </c>
      <c r="B43" s="6">
        <f>'[1]Ronda 2 (valores sobre1)'!B43*100</f>
        <v>33.333329999999997</v>
      </c>
      <c r="C43" s="6">
        <f>'[1]Ronda 2 (valores sobre1)'!C43*100</f>
        <v>66.666669999999996</v>
      </c>
      <c r="D43" s="6">
        <f>'[1]Ronda 2 (valores sobre1)'!D43*100</f>
        <v>0</v>
      </c>
      <c r="E43" s="10">
        <f>AVERAGE((B43-$B$11)^2, (C43-$C$11)^2)</f>
        <v>611.44317639908479</v>
      </c>
      <c r="F43" s="6">
        <f t="shared" si="13"/>
        <v>24.727377062662445</v>
      </c>
      <c r="G43" s="10">
        <f>AVERAGE((B43-$B$11)^2, (C43-$C$11)^2, (D43-$D$11)^2)</f>
        <v>408.21463311313528</v>
      </c>
      <c r="H43" s="6">
        <f t="shared" si="1"/>
        <v>20.204322139412035</v>
      </c>
      <c r="J43" s="10">
        <f>AVERAGE((B43-$B$38)^2, (C43-$C$38)^2)</f>
        <v>518.44458888889994</v>
      </c>
      <c r="K43" s="6">
        <f t="shared" si="14"/>
        <v>22.769378315819253</v>
      </c>
      <c r="L43" s="10">
        <f>AVERAGE((B43-$B$38)^2, (C43-$C$38)^2, (D43-$D$38)^2)</f>
        <v>393.62972592593331</v>
      </c>
      <c r="M43" s="6">
        <f t="shared" si="15"/>
        <v>19.840103979715764</v>
      </c>
    </row>
    <row r="44" spans="1:13" s="7" customFormat="1" x14ac:dyDescent="0.25">
      <c r="A44" s="4" t="s">
        <v>20</v>
      </c>
      <c r="B44" s="6">
        <f>'[1]Ronda 2 (valores sobre1)'!B44*100</f>
        <v>33.333329999999997</v>
      </c>
      <c r="C44" s="6">
        <f>'[1]Ronda 2 (valores sobre1)'!C44*100</f>
        <v>54.145209999999999</v>
      </c>
      <c r="D44" s="6">
        <f>'[1]Ronda 2 (valores sobre1)'!D44*100</f>
        <v>12.521460000000001</v>
      </c>
      <c r="E44" s="10">
        <f>AVERAGE((B44-$B$11)^2, (C44-$C$11)^2)</f>
        <v>372.02505653533535</v>
      </c>
      <c r="F44" s="6">
        <f t="shared" si="13"/>
        <v>19.287951071467788</v>
      </c>
      <c r="G44" s="10">
        <f>AVERAGE((B44-$B$11)^2, (C44-$C$11)^2, (D44-$D$11)^2)</f>
        <v>289.79819908010234</v>
      </c>
      <c r="H44" s="6">
        <f t="shared" si="1"/>
        <v>17.023460255779444</v>
      </c>
      <c r="J44" s="10">
        <f>AVERAGE((B44-$B$38)^2, (C44-$C$38)^2)</f>
        <v>237.88950741650001</v>
      </c>
      <c r="K44" s="6">
        <f t="shared" si="14"/>
        <v>15.423667119608748</v>
      </c>
      <c r="L44" s="10">
        <f>AVERAGE((B44-$B$38)^2, (C44-$C$38)^2, (D44-$D$38)^2)</f>
        <v>158.68364512153335</v>
      </c>
      <c r="M44" s="6">
        <f t="shared" si="15"/>
        <v>12.596969680106932</v>
      </c>
    </row>
    <row r="45" spans="1:13" s="7" customFormat="1" x14ac:dyDescent="0.25">
      <c r="A45" s="14" t="s">
        <v>21</v>
      </c>
      <c r="B45" s="25">
        <f>'[1]Ronda 2 (valores sobre1)'!B45*100</f>
        <v>47.60633</v>
      </c>
      <c r="C45" s="25">
        <f>'[1]Ronda 2 (valores sobre1)'!C45*100</f>
        <v>34.613019999999999</v>
      </c>
      <c r="D45" s="24">
        <f>'[1]Ronda 2 (valores sobre1)'!D45*100</f>
        <v>17.780650000000001</v>
      </c>
      <c r="E45" s="24">
        <f>AVERAGE((B45-$B$11)^2, (C45-$C$11)^2)</f>
        <v>70.109680728555048</v>
      </c>
      <c r="F45" s="25">
        <f t="shared" si="13"/>
        <v>8.3731523770056313</v>
      </c>
      <c r="G45" s="24">
        <f>AVERAGE((B45-$B$11)^2, (C45-$C$11)^2, (D45-$D$11)^2)</f>
        <v>136.99464037399122</v>
      </c>
      <c r="H45" s="25">
        <f t="shared" si="1"/>
        <v>11.704470956604199</v>
      </c>
      <c r="J45" s="24">
        <f>AVERAGE((B45-$B$38)^2, (C45-$C$38)^2)</f>
        <v>5.813304794650004</v>
      </c>
      <c r="K45" s="25">
        <f t="shared" si="14"/>
        <v>2.4110795911064411</v>
      </c>
      <c r="L45" s="24">
        <f>AVERAGE((B45-$B$38)^2, (C45-$C$38)^2, (D45-$D$38)^2)</f>
        <v>15.014174670600008</v>
      </c>
      <c r="M45" s="25">
        <f t="shared" si="15"/>
        <v>3.8748128562035107</v>
      </c>
    </row>
    <row r="46" spans="1:13" s="7" customFormat="1" x14ac:dyDescent="0.25">
      <c r="A46" s="8" t="s">
        <v>22</v>
      </c>
      <c r="B46" s="17">
        <f>'[1]Ronda 2 (valores sobre1)'!B46*100</f>
        <v>46.769190000000002</v>
      </c>
      <c r="C46" s="17">
        <f>'[1]Ronda 2 (valores sobre1)'!C46*100</f>
        <v>39.805720000000001</v>
      </c>
      <c r="D46" s="17">
        <f>'[1]Ronda 2 (valores sobre1)'!D46*100</f>
        <v>13.425090000000001</v>
      </c>
      <c r="E46" s="11">
        <f>AVERAGE((B46-$B$11)^2, (C46-$C$11)^2)</f>
        <v>57.48434353650039</v>
      </c>
      <c r="F46" s="17">
        <f t="shared" si="13"/>
        <v>7.5818430171364266</v>
      </c>
      <c r="G46" s="11">
        <f>AVERAGE((B46-$B$11)^2, (C46-$C$11)^2, (D46-$D$11)^2)</f>
        <v>87.121107538466433</v>
      </c>
      <c r="H46" s="17">
        <f t="shared" si="1"/>
        <v>9.3338688408647794</v>
      </c>
      <c r="J46" s="11">
        <f>AVERAGE((B46-$B$38)^2, (C46-$C$38)^2)</f>
        <v>2.3877589872499994</v>
      </c>
      <c r="K46" s="17">
        <f t="shared" si="14"/>
        <v>1.5452375180696329</v>
      </c>
      <c r="L46" s="11">
        <f>AVERAGE((B46-$B$38)^2, (C46-$C$38)^2, (D46-$D$38)^2)</f>
        <v>2.2687998275333339</v>
      </c>
      <c r="M46" s="17">
        <f t="shared" si="15"/>
        <v>1.5062535734508098</v>
      </c>
    </row>
    <row r="47" spans="1:13" x14ac:dyDescent="0.25">
      <c r="A47" s="9" t="s">
        <v>25</v>
      </c>
      <c r="B47" s="31">
        <f>'[1]Ronda 2 (valores sobre1)'!B47*100</f>
        <v>57.388958391413581</v>
      </c>
      <c r="C47" s="31">
        <f>'[1]Ronda 2 (valores sobre1)'!C47*100</f>
        <v>41.285316696986655</v>
      </c>
      <c r="D47" s="31">
        <f>'[1]Ronda 2 (valores sobre1)'!D47*100</f>
        <v>1.3257249115997642</v>
      </c>
      <c r="J47" s="31">
        <f>AVERAGE((B47-$B$38)^2, (C47-$C$38)^2)</f>
        <v>49.472922737597408</v>
      </c>
      <c r="K47" s="31">
        <f t="shared" si="14"/>
        <v>7.0336990792610266</v>
      </c>
      <c r="L47" s="31">
        <f>AVERAGE((B47-$B$38)^2, (C47-$C$38)^2, (D47-$D$38)^2)</f>
        <v>70.961998046012226</v>
      </c>
      <c r="M47" s="31">
        <f t="shared" ref="M47" si="16">SQRT(L47)</f>
        <v>8.4238944702561547</v>
      </c>
    </row>
  </sheetData>
  <mergeCells count="1">
    <mergeCell ref="J1:M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B866-628B-41D9-91B1-031FD6542A3C}">
  <dimension ref="A1:V60"/>
  <sheetViews>
    <sheetView zoomScale="85" zoomScaleNormal="85" workbookViewId="0">
      <selection activeCell="Q50" sqref="Q50"/>
    </sheetView>
  </sheetViews>
  <sheetFormatPr baseColWidth="10" defaultColWidth="8.7109375" defaultRowHeight="15" x14ac:dyDescent="0.25"/>
  <cols>
    <col min="1" max="1" width="44.140625" customWidth="1"/>
    <col min="5" max="5" width="10.5703125" style="18" bestFit="1" customWidth="1"/>
    <col min="6" max="6" width="9.5703125" style="18" bestFit="1" customWidth="1"/>
    <col min="7" max="7" width="13.42578125" style="18" customWidth="1"/>
    <col min="8" max="8" width="13.28515625" style="18" customWidth="1"/>
    <col min="12" max="12" width="12" customWidth="1"/>
    <col min="13" max="13" width="13.85546875" customWidth="1"/>
  </cols>
  <sheetData>
    <row r="1" spans="1:22" x14ac:dyDescent="0.25">
      <c r="A1" s="1" t="s">
        <v>73</v>
      </c>
      <c r="B1" s="12" t="s">
        <v>4</v>
      </c>
      <c r="C1" s="12" t="s">
        <v>1</v>
      </c>
      <c r="D1" s="1" t="s">
        <v>39</v>
      </c>
      <c r="E1" s="12" t="s">
        <v>77</v>
      </c>
      <c r="F1" s="12" t="s">
        <v>78</v>
      </c>
      <c r="G1" s="12" t="s">
        <v>79</v>
      </c>
      <c r="H1" s="12" t="s">
        <v>80</v>
      </c>
      <c r="I1" s="74" t="s">
        <v>13</v>
      </c>
      <c r="J1" s="138" t="s">
        <v>82</v>
      </c>
      <c r="K1" s="134"/>
      <c r="L1" s="134"/>
      <c r="M1" s="134"/>
      <c r="N1" s="27"/>
      <c r="O1" s="27"/>
      <c r="P1" s="27"/>
      <c r="Q1" s="27"/>
      <c r="R1" s="27"/>
    </row>
    <row r="2" spans="1:22" x14ac:dyDescent="0.25">
      <c r="A2" s="2" t="s">
        <v>30</v>
      </c>
      <c r="B2" s="3">
        <v>48.06015</v>
      </c>
      <c r="C2" s="3">
        <v>38.94014</v>
      </c>
      <c r="D2" s="3">
        <v>12.99972</v>
      </c>
      <c r="E2" s="3">
        <f>AVERAGE((B2-$B$14)^2, (C2-$C$14)^2)</f>
        <v>46.263259871898839</v>
      </c>
      <c r="F2" s="3">
        <f>SQRT(E2)</f>
        <v>6.8017100696735699</v>
      </c>
      <c r="G2" s="3">
        <f>AVERAGE((B2-$B$14)^2, (C2-$C$14)^2, (D2-$D$14)^2)</f>
        <v>76.269560355930167</v>
      </c>
      <c r="H2" s="3">
        <f>SQRT(G2)</f>
        <v>8.7332445491884734</v>
      </c>
      <c r="J2" s="12" t="s">
        <v>77</v>
      </c>
      <c r="K2" s="12" t="s">
        <v>78</v>
      </c>
      <c r="L2" s="12" t="s">
        <v>79</v>
      </c>
      <c r="M2" s="12" t="s">
        <v>80</v>
      </c>
      <c r="N2" s="27"/>
      <c r="O2" t="s">
        <v>27</v>
      </c>
      <c r="P2" s="27"/>
      <c r="Q2" s="27"/>
      <c r="R2" s="27"/>
    </row>
    <row r="3" spans="1:22" x14ac:dyDescent="0.25">
      <c r="A3" s="5" t="s">
        <v>15</v>
      </c>
      <c r="B3" s="6">
        <v>38.80254</v>
      </c>
      <c r="C3" s="6">
        <v>42.423459999999999</v>
      </c>
      <c r="D3" s="6">
        <v>18.773999999999997</v>
      </c>
      <c r="E3" s="10">
        <f t="shared" ref="E3:E13" si="0">AVERAGE((B3-$B$14)^2, (C3-$C$14)^2)</f>
        <v>173.37515939943555</v>
      </c>
      <c r="F3" s="6">
        <f t="shared" ref="F3:F13" si="1">SQRT(E3)</f>
        <v>13.167200135162963</v>
      </c>
      <c r="G3" s="10">
        <f t="shared" ref="G3:G13" si="2">AVERAGE((B3-$B$14)^2, (C3-$C$14)^2, (D3-$D$14)^2)</f>
        <v>217.06420745311979</v>
      </c>
      <c r="H3" s="6">
        <f t="shared" ref="H3:H13" si="3">SQRT(G3)</f>
        <v>14.733099044434603</v>
      </c>
      <c r="J3" s="10">
        <f>AVERAGE((B3-$B$2)^2, (C3-$C$2)^2)</f>
        <v>48.918430567249999</v>
      </c>
      <c r="K3" s="6">
        <f t="shared" ref="K3:K15" si="4">SQRT(J3)</f>
        <v>6.9941711851548209</v>
      </c>
      <c r="L3" s="10">
        <f>AVERAGE((B3-$B$2)^2, (C3-$C$2)^2, (D3-$D$2)^2)</f>
        <v>43.72639021763333</v>
      </c>
      <c r="M3" s="6">
        <f t="shared" ref="M3:M15" si="5">SQRT(L3)</f>
        <v>6.612593305022874</v>
      </c>
      <c r="N3" s="27"/>
      <c r="O3" s="28">
        <v>0.58160000000000001</v>
      </c>
      <c r="P3" s="28">
        <v>0.41839999999999999</v>
      </c>
      <c r="R3" s="27"/>
    </row>
    <row r="4" spans="1:22" x14ac:dyDescent="0.25">
      <c r="A4" s="4" t="s">
        <v>16</v>
      </c>
      <c r="B4" s="6">
        <v>37.162079999999996</v>
      </c>
      <c r="C4" s="6">
        <v>41.749879999999997</v>
      </c>
      <c r="D4" s="6">
        <v>21.088039999999999</v>
      </c>
      <c r="E4" s="10">
        <f t="shared" si="0"/>
        <v>204.67121426177025</v>
      </c>
      <c r="F4" s="6">
        <f t="shared" si="1"/>
        <v>14.306334759880682</v>
      </c>
      <c r="G4" s="10">
        <f t="shared" si="2"/>
        <v>266.63050872558404</v>
      </c>
      <c r="H4" s="6">
        <f t="shared" si="3"/>
        <v>16.328824474700681</v>
      </c>
      <c r="J4" s="10">
        <f>AVERAGE((B4-$B$2)^2, (C4-$C$2)^2)</f>
        <v>63.33128429625004</v>
      </c>
      <c r="K4" s="6">
        <f t="shared" si="4"/>
        <v>7.9580955194223471</v>
      </c>
      <c r="L4" s="10">
        <f>AVERAGE((B4-$B$2)^2, (C4-$C$2)^2, (D4-$D$2)^2)</f>
        <v>64.027829671633356</v>
      </c>
      <c r="M4" s="6">
        <f t="shared" si="5"/>
        <v>8.001739165433559</v>
      </c>
      <c r="N4" s="27"/>
      <c r="O4" t="s">
        <v>28</v>
      </c>
      <c r="P4" s="27"/>
      <c r="Q4" s="28">
        <f>1-R5</f>
        <v>0.98674275088400232</v>
      </c>
      <c r="R4" t="s">
        <v>29</v>
      </c>
    </row>
    <row r="5" spans="1:22" x14ac:dyDescent="0.25">
      <c r="A5" s="20" t="s">
        <v>17</v>
      </c>
      <c r="B5" s="22">
        <v>45.237719999999996</v>
      </c>
      <c r="C5" s="22">
        <v>38.529619999999994</v>
      </c>
      <c r="D5" s="22">
        <v>16.232659999999999</v>
      </c>
      <c r="E5" s="21">
        <f t="shared" si="0"/>
        <v>77.623229365373305</v>
      </c>
      <c r="F5" s="22">
        <f t="shared" si="1"/>
        <v>8.810404608494057</v>
      </c>
      <c r="G5" s="21">
        <f t="shared" si="2"/>
        <v>125.82105748684158</v>
      </c>
      <c r="H5" s="22">
        <f t="shared" si="3"/>
        <v>11.216998595294625</v>
      </c>
      <c r="J5" s="10">
        <f>AVERAGE((B5-$B$2)^2, (C5-$C$2)^2)</f>
        <v>4.0673188876500141</v>
      </c>
      <c r="K5" s="39">
        <f t="shared" si="4"/>
        <v>2.0167595016882935</v>
      </c>
      <c r="L5" s="10">
        <f>AVERAGE((B5-$B$2)^2, (C5-$C$2)^2, (D5-$D$2)^2)</f>
        <v>6.1955129396333417</v>
      </c>
      <c r="M5" s="22">
        <f t="shared" si="5"/>
        <v>2.4890787331125832</v>
      </c>
      <c r="N5" s="27"/>
      <c r="O5" s="29">
        <f>O3*Q4</f>
        <v>0.5738895839141358</v>
      </c>
      <c r="P5" s="29">
        <f>P3*Q4</f>
        <v>0.41285316696986657</v>
      </c>
      <c r="Q5" s="27"/>
      <c r="R5" s="29">
        <f>165344/12471969</f>
        <v>1.3257249115997643E-2</v>
      </c>
    </row>
    <row r="6" spans="1:22" s="7" customFormat="1" x14ac:dyDescent="0.25">
      <c r="A6" s="41" t="s">
        <v>18</v>
      </c>
      <c r="B6" s="39">
        <v>45.371270000000003</v>
      </c>
      <c r="C6" s="39">
        <v>37.596220000000002</v>
      </c>
      <c r="D6" s="39">
        <v>17.032510000000002</v>
      </c>
      <c r="E6" s="38">
        <f t="shared" si="0"/>
        <v>79.017134356417259</v>
      </c>
      <c r="F6" s="39">
        <f t="shared" si="1"/>
        <v>8.8891582479117375</v>
      </c>
      <c r="G6" s="38">
        <f t="shared" si="2"/>
        <v>134.91245550867552</v>
      </c>
      <c r="H6" s="39">
        <f t="shared" si="3"/>
        <v>11.615182112591929</v>
      </c>
      <c r="I6"/>
      <c r="J6" s="10">
        <f>AVERAGE((B6-$B$2)^2, (C6-$C$2)^2)</f>
        <v>4.5180983103999894</v>
      </c>
      <c r="K6" s="22">
        <f t="shared" si="4"/>
        <v>2.125581875722502</v>
      </c>
      <c r="L6" s="10">
        <f>AVERAGE((B6-$B$2)^2, (C6-$C$2)^2, (D6-$D$2)^2)</f>
        <v>8.4331972682999989</v>
      </c>
      <c r="M6" s="39">
        <f t="shared" si="5"/>
        <v>2.9039967748432503</v>
      </c>
      <c r="N6" s="30"/>
      <c r="O6" s="30"/>
      <c r="P6" s="30"/>
      <c r="Q6" s="30"/>
      <c r="R6" s="30"/>
    </row>
    <row r="7" spans="1:22" x14ac:dyDescent="0.25">
      <c r="A7" s="4" t="s">
        <v>19</v>
      </c>
      <c r="B7" s="6">
        <v>33.333329999999997</v>
      </c>
      <c r="C7" s="6">
        <v>66.666669999999996</v>
      </c>
      <c r="D7" s="6">
        <v>0</v>
      </c>
      <c r="E7" s="10">
        <f t="shared" si="0"/>
        <v>611.44317639908479</v>
      </c>
      <c r="F7" s="6">
        <f t="shared" si="1"/>
        <v>24.727377062662445</v>
      </c>
      <c r="G7" s="10">
        <f t="shared" si="2"/>
        <v>408.21463311313528</v>
      </c>
      <c r="H7" s="6">
        <f t="shared" si="3"/>
        <v>20.204322139412035</v>
      </c>
      <c r="I7" s="27"/>
      <c r="J7" s="10">
        <f>AVERAGE((B7-$B$2)^2, (C7-$C$2)^2)</f>
        <v>492.81984657664992</v>
      </c>
      <c r="K7" s="6">
        <f t="shared" si="4"/>
        <v>22.199546089428267</v>
      </c>
      <c r="L7" s="10">
        <f>AVERAGE((B7-$B$2)^2, (C7-$C$2)^2, (D7-$D$2)^2)</f>
        <v>384.87747107723334</v>
      </c>
      <c r="M7" s="6">
        <f t="shared" si="5"/>
        <v>19.618294295815662</v>
      </c>
      <c r="N7" s="27"/>
      <c r="O7" s="27"/>
      <c r="P7" s="27"/>
      <c r="Q7" s="27"/>
      <c r="R7" s="27"/>
    </row>
    <row r="8" spans="1:22" x14ac:dyDescent="0.25">
      <c r="A8" s="4" t="s">
        <v>20</v>
      </c>
      <c r="B8" s="6">
        <v>33.333332999999996</v>
      </c>
      <c r="C8" s="6">
        <v>58.25</v>
      </c>
      <c r="D8" s="6">
        <v>8.4166670000000003</v>
      </c>
      <c r="E8" s="10">
        <f t="shared" si="0"/>
        <v>433.23679627178086</v>
      </c>
      <c r="F8" s="6">
        <f t="shared" si="1"/>
        <v>20.814341120289654</v>
      </c>
      <c r="G8" s="10">
        <f t="shared" si="2"/>
        <v>305.58501741486924</v>
      </c>
      <c r="H8" s="6">
        <f t="shared" si="3"/>
        <v>17.480990172609481</v>
      </c>
      <c r="J8" s="10">
        <f>AVERAGE((B8-$B$2)^2, (C8-$C$2)^2)</f>
        <v>294.87491608554456</v>
      </c>
      <c r="K8" s="6">
        <f t="shared" si="4"/>
        <v>17.171922317712266</v>
      </c>
      <c r="L8" s="10">
        <f>AVERAGE((B8-$B$2)^2, (C8-$C$2)^2, (D8-$D$2)^2)</f>
        <v>203.58473565729938</v>
      </c>
      <c r="M8" s="6">
        <f t="shared" si="5"/>
        <v>14.268312291833936</v>
      </c>
      <c r="N8" s="27"/>
      <c r="O8" s="27"/>
      <c r="P8" s="27"/>
      <c r="Q8" s="27"/>
      <c r="R8" s="27"/>
    </row>
    <row r="9" spans="1:22" s="7" customFormat="1" x14ac:dyDescent="0.25">
      <c r="A9" s="42" t="s">
        <v>31</v>
      </c>
      <c r="B9" s="43">
        <v>47.15466</v>
      </c>
      <c r="C9" s="43">
        <v>35.992190000000001</v>
      </c>
      <c r="D9" s="44">
        <v>16.853159999999999</v>
      </c>
      <c r="E9" s="44">
        <f t="shared" si="0"/>
        <v>66.379026897421738</v>
      </c>
      <c r="F9" s="43">
        <f t="shared" si="1"/>
        <v>8.147332501955578</v>
      </c>
      <c r="G9" s="44">
        <f t="shared" si="2"/>
        <v>124.61976473977545</v>
      </c>
      <c r="H9" s="43">
        <f t="shared" si="3"/>
        <v>11.163322298481551</v>
      </c>
      <c r="J9" s="43">
        <f>AVERAGE((B9-$B$2)^2, (C9-$C$2)^2)</f>
        <v>4.755160671299997</v>
      </c>
      <c r="K9" s="17">
        <f t="shared" si="4"/>
        <v>2.1806330895636701</v>
      </c>
      <c r="L9" s="43">
        <f>AVERAGE((B9-$B$2)^2, (C9-$C$2)^2, (D9-$D$2)^2)</f>
        <v>8.1197737253999964</v>
      </c>
      <c r="M9" s="43">
        <f t="shared" si="5"/>
        <v>2.8495216660695872</v>
      </c>
      <c r="N9" s="30"/>
      <c r="O9" s="30"/>
      <c r="P9" s="30"/>
      <c r="Q9" s="30"/>
      <c r="R9" s="30"/>
    </row>
    <row r="10" spans="1:22" s="7" customFormat="1" x14ac:dyDescent="0.25">
      <c r="A10" s="8" t="s">
        <v>32</v>
      </c>
      <c r="B10" s="17">
        <v>45.320219999999999</v>
      </c>
      <c r="C10" s="17">
        <v>39.922969999999999</v>
      </c>
      <c r="D10" s="17">
        <v>14.756810000000002</v>
      </c>
      <c r="E10" s="11">
        <f t="shared" si="0"/>
        <v>73.755217441585273</v>
      </c>
      <c r="F10" s="17">
        <f t="shared" si="1"/>
        <v>8.5880857844798726</v>
      </c>
      <c r="G10" s="11">
        <f t="shared" si="2"/>
        <v>109.30149384500594</v>
      </c>
      <c r="H10" s="17">
        <f t="shared" si="3"/>
        <v>10.45473547465482</v>
      </c>
      <c r="J10" s="17">
        <f>AVERAGE((B10-$B$2)^2, (C10-$C$2)^2)</f>
        <v>4.236585606900003</v>
      </c>
      <c r="K10" s="43">
        <f t="shared" si="4"/>
        <v>2.0582967732812496</v>
      </c>
      <c r="L10" s="17">
        <f>AVERAGE((B10-$B$2)^2, (C10-$C$2)^2, (D10-$D$2)^2)</f>
        <v>3.8535121606333376</v>
      </c>
      <c r="M10" s="17">
        <f t="shared" si="5"/>
        <v>1.9630364644176475</v>
      </c>
      <c r="N10" s="30"/>
      <c r="O10" s="30"/>
      <c r="P10" s="30"/>
      <c r="Q10" s="30"/>
      <c r="R10" s="30"/>
    </row>
    <row r="11" spans="1:22" s="7" customFormat="1" x14ac:dyDescent="0.25">
      <c r="A11" s="2" t="s">
        <v>33</v>
      </c>
      <c r="B11" s="3">
        <v>46.983180000000004</v>
      </c>
      <c r="C11" s="3">
        <v>38.746920000000003</v>
      </c>
      <c r="D11" s="3">
        <v>14.2699</v>
      </c>
      <c r="E11" s="3">
        <f t="shared" si="0"/>
        <v>57.361840861241241</v>
      </c>
      <c r="F11" s="3">
        <f t="shared" si="1"/>
        <v>7.5737600213659553</v>
      </c>
      <c r="G11" s="3">
        <f t="shared" si="2"/>
        <v>94.091783480547917</v>
      </c>
      <c r="H11" s="3">
        <f t="shared" si="3"/>
        <v>9.7000919315513663</v>
      </c>
      <c r="I11" s="7" t="s">
        <v>13</v>
      </c>
      <c r="J11" s="7" t="s">
        <v>13</v>
      </c>
      <c r="K11" s="7" t="s">
        <v>13</v>
      </c>
      <c r="L11" s="7" t="s">
        <v>13</v>
      </c>
      <c r="M11" s="7" t="s">
        <v>13</v>
      </c>
      <c r="N11" s="30"/>
      <c r="O11" s="30"/>
      <c r="P11" s="30"/>
      <c r="Q11" s="30"/>
      <c r="R11" s="30"/>
      <c r="V11" s="7" t="s">
        <v>13</v>
      </c>
    </row>
    <row r="12" spans="1:22" s="7" customFormat="1" x14ac:dyDescent="0.25">
      <c r="A12" s="14" t="s">
        <v>34</v>
      </c>
      <c r="B12" s="25">
        <v>40.154940000000003</v>
      </c>
      <c r="C12" s="25">
        <v>40.294710000000002</v>
      </c>
      <c r="D12" s="25">
        <v>19.550360000000001</v>
      </c>
      <c r="E12" s="24">
        <f t="shared" si="0"/>
        <v>148.99634577184813</v>
      </c>
      <c r="F12" s="25">
        <f t="shared" si="1"/>
        <v>12.206405931798603</v>
      </c>
      <c r="G12" s="24">
        <f t="shared" si="2"/>
        <v>210.04333854968181</v>
      </c>
      <c r="H12" s="25">
        <f t="shared" si="3"/>
        <v>14.492871991074848</v>
      </c>
      <c r="I12"/>
      <c r="J12" s="24">
        <f>AVERAGE((B12-$B$11)^2, (C12-$C$11)^2)</f>
        <v>24.510257690850008</v>
      </c>
      <c r="K12" s="25">
        <f t="shared" ref="K12:K13" si="6">SQRT(J12)</f>
        <v>4.9507835431222409</v>
      </c>
      <c r="L12" s="24">
        <f>AVERAGE((B12-$B$11)^2, (C12-$C$11)^2, (D12-$D$11)^2)</f>
        <v>25.634591064433341</v>
      </c>
      <c r="M12" s="25">
        <f t="shared" ref="M12:M13" si="7">SQRT(L12)</f>
        <v>5.0630614320224616</v>
      </c>
      <c r="N12" s="30"/>
      <c r="O12" s="30"/>
      <c r="P12" s="30"/>
      <c r="Q12" s="30"/>
      <c r="R12" s="30"/>
    </row>
    <row r="13" spans="1:22" s="7" customFormat="1" x14ac:dyDescent="0.25">
      <c r="A13" s="8" t="s">
        <v>35</v>
      </c>
      <c r="B13" s="17">
        <v>45.816189999999999</v>
      </c>
      <c r="C13" s="17">
        <v>40.672150000000002</v>
      </c>
      <c r="D13" s="17">
        <v>13.511660000000001</v>
      </c>
      <c r="E13" s="11">
        <f t="shared" si="0"/>
        <v>67.152470819797415</v>
      </c>
      <c r="F13" s="17">
        <f t="shared" si="1"/>
        <v>8.1946611168368282</v>
      </c>
      <c r="G13" s="11">
        <f t="shared" si="2"/>
        <v>94.267318539432992</v>
      </c>
      <c r="H13" s="17">
        <f t="shared" si="3"/>
        <v>9.7091358286632801</v>
      </c>
      <c r="I13"/>
      <c r="J13" s="11">
        <f>AVERAGE((B13-$B$11)^2, (C13-$C$11)^2)</f>
        <v>2.5341881065000047</v>
      </c>
      <c r="K13" s="17">
        <f t="shared" si="6"/>
        <v>1.5919133476731717</v>
      </c>
      <c r="L13" s="11">
        <f>AVERAGE((B13-$B$47)^2, (C13-$C$47)^2, (D13-$D$47)^2)</f>
        <v>3.5462846516666651</v>
      </c>
      <c r="M13" s="17">
        <f t="shared" si="7"/>
        <v>1.8831581589624025</v>
      </c>
      <c r="N13" s="30"/>
      <c r="O13" s="30"/>
      <c r="P13" s="30"/>
      <c r="Q13" s="30"/>
      <c r="R13" s="30"/>
    </row>
    <row r="14" spans="1:22" x14ac:dyDescent="0.25">
      <c r="A14" s="9" t="s">
        <v>25</v>
      </c>
      <c r="B14" s="31">
        <v>57.388958391413581</v>
      </c>
      <c r="C14" s="31">
        <v>41.285316696986655</v>
      </c>
      <c r="D14" s="31">
        <v>1.3257249115997642</v>
      </c>
      <c r="J14" s="31">
        <f>AVERAGE((B14-$B$2)^2, (C14-$C$2)^2)</f>
        <v>46.263259871898839</v>
      </c>
      <c r="K14" s="31">
        <f t="shared" si="4"/>
        <v>6.8017100696735699</v>
      </c>
      <c r="L14" s="31">
        <f>AVERAGE((B14-$B$2)^2, (C14-$C$2)^2, (D14-$D$2)^2)</f>
        <v>76.269560355930167</v>
      </c>
      <c r="M14" s="31">
        <f t="shared" si="5"/>
        <v>8.7332445491884734</v>
      </c>
      <c r="N14" t="s">
        <v>36</v>
      </c>
    </row>
    <row r="15" spans="1:22" x14ac:dyDescent="0.25">
      <c r="J15" s="31">
        <f>AVERAGE((B14-$B$11)^2, (C14-$C$11)^2)</f>
        <v>57.361840861241241</v>
      </c>
      <c r="K15" s="31">
        <f t="shared" si="4"/>
        <v>7.5737600213659553</v>
      </c>
      <c r="L15" s="31">
        <f>AVERAGE((B14-$B$11)^2, (C14-$C$11)^2, (D14-$D$11)^2)</f>
        <v>94.091783480547917</v>
      </c>
      <c r="M15" s="31">
        <f t="shared" si="5"/>
        <v>9.7000919315513663</v>
      </c>
      <c r="N15" t="s">
        <v>37</v>
      </c>
    </row>
    <row r="16" spans="1:22" x14ac:dyDescent="0.25">
      <c r="A16" s="1" t="s">
        <v>74</v>
      </c>
      <c r="B16" s="12" t="s">
        <v>4</v>
      </c>
      <c r="C16" s="12" t="s">
        <v>1</v>
      </c>
      <c r="D16" s="1" t="s">
        <v>39</v>
      </c>
      <c r="E16" s="12" t="s">
        <v>77</v>
      </c>
      <c r="F16" s="12" t="s">
        <v>78</v>
      </c>
      <c r="G16" s="12" t="s">
        <v>79</v>
      </c>
      <c r="H16" s="12" t="s">
        <v>80</v>
      </c>
    </row>
    <row r="17" spans="1:19" x14ac:dyDescent="0.25">
      <c r="A17" s="2" t="s">
        <v>30</v>
      </c>
      <c r="B17" s="3">
        <v>47.557120000000005</v>
      </c>
      <c r="C17" s="3">
        <v>39.617599999999996</v>
      </c>
      <c r="D17" s="3">
        <v>12.825279999999999</v>
      </c>
      <c r="E17" s="3">
        <f>AVERAGE((B17-$B$14)^2, (C17-$C$14)^2)</f>
        <v>49.723162568140999</v>
      </c>
      <c r="F17" s="3">
        <f>SQRT(E17)</f>
        <v>7.0514652780922775</v>
      </c>
      <c r="G17" s="3">
        <f>AVERAGE((B17-$B$14)^2, (C17-$C$14)^2, (D17-$D$14)^2)</f>
        <v>77.228697455811243</v>
      </c>
      <c r="H17" s="3">
        <f>SQRT(G17)</f>
        <v>8.787985972668098</v>
      </c>
      <c r="J17" s="12" t="s">
        <v>77</v>
      </c>
      <c r="K17" s="12" t="s">
        <v>78</v>
      </c>
      <c r="L17" s="12" t="s">
        <v>79</v>
      </c>
      <c r="M17" s="12" t="s">
        <v>80</v>
      </c>
      <c r="S17" t="s">
        <v>13</v>
      </c>
    </row>
    <row r="18" spans="1:19" x14ac:dyDescent="0.25">
      <c r="A18" s="5" t="s">
        <v>15</v>
      </c>
      <c r="B18" s="6">
        <v>39.249250000000004</v>
      </c>
      <c r="C18" s="6">
        <v>42.421840000000003</v>
      </c>
      <c r="D18" s="6">
        <v>18.32891</v>
      </c>
      <c r="E18" s="10">
        <f t="shared" ref="E18:E28" si="8">AVERAGE((B18-$B$14)^2, (C18-$C$14)^2)</f>
        <v>165.17035287190626</v>
      </c>
      <c r="F18" s="6">
        <f t="shared" ref="F18:F28" si="9">SQRT(E18)</f>
        <v>12.85186184456969</v>
      </c>
      <c r="G18" s="10">
        <f t="shared" ref="G18:G28" si="10">AVERAGE((B18-$B$14)^2, (C18-$C$14)^2, (D18-$D$14)^2)</f>
        <v>206.48300296473622</v>
      </c>
      <c r="H18" s="6">
        <f t="shared" ref="H18:H28" si="11">SQRT(G18)</f>
        <v>14.369516448535636</v>
      </c>
      <c r="J18" s="10">
        <f>AVERAGE((B18-$B$2)^2, (C18-$C$2)^2)</f>
        <v>44.877096849999987</v>
      </c>
      <c r="K18" s="6">
        <f t="shared" ref="K18:K30" si="12">SQRT(J18)</f>
        <v>6.6990370091528817</v>
      </c>
      <c r="L18" s="10">
        <f>AVERAGE((B18-$B$2)^2, (C18-$C$2)^2, (D18-$D$2)^2)</f>
        <v>39.384819918699996</v>
      </c>
      <c r="M18" s="6">
        <f t="shared" ref="M18:M30" si="13">SQRT(L18)</f>
        <v>6.2757326200771173</v>
      </c>
    </row>
    <row r="19" spans="1:19" s="7" customFormat="1" x14ac:dyDescent="0.25">
      <c r="A19" s="4" t="s">
        <v>16</v>
      </c>
      <c r="B19" s="6">
        <v>37.017359999999996</v>
      </c>
      <c r="C19" s="6">
        <v>42.076190000000004</v>
      </c>
      <c r="D19" s="6">
        <v>20.90645</v>
      </c>
      <c r="E19" s="10">
        <f t="shared" si="8"/>
        <v>207.81375080123189</v>
      </c>
      <c r="F19" s="6">
        <f t="shared" si="9"/>
        <v>14.415746626561937</v>
      </c>
      <c r="G19" s="10">
        <f t="shared" si="10"/>
        <v>266.34409886332338</v>
      </c>
      <c r="H19" s="6">
        <f t="shared" si="11"/>
        <v>16.320052048425683</v>
      </c>
      <c r="I19"/>
      <c r="J19" s="10">
        <f>AVERAGE((B19-$B$2)^2, (C19-$C$2)^2)</f>
        <v>65.889010293300046</v>
      </c>
      <c r="K19" s="6">
        <f t="shared" si="12"/>
        <v>8.1172045861429449</v>
      </c>
      <c r="L19" s="10">
        <f>AVERAGE((B19-$B$2)^2, (C19-$C$2)^2, (D19-$D$2)^2)</f>
        <v>64.764799959833354</v>
      </c>
      <c r="M19" s="6">
        <f t="shared" si="13"/>
        <v>8.0476580419295498</v>
      </c>
      <c r="Q19" s="7" t="s">
        <v>81</v>
      </c>
    </row>
    <row r="20" spans="1:19" x14ac:dyDescent="0.25">
      <c r="A20" s="80" t="s">
        <v>17</v>
      </c>
      <c r="B20" s="39">
        <v>45.296189999999996</v>
      </c>
      <c r="C20" s="39">
        <v>38.507239999999996</v>
      </c>
      <c r="D20" s="39">
        <v>16.196569999999998</v>
      </c>
      <c r="E20" s="21">
        <f t="shared" si="8"/>
        <v>76.976378751355909</v>
      </c>
      <c r="F20" s="22">
        <f t="shared" si="9"/>
        <v>8.7736183385964495</v>
      </c>
      <c r="G20" s="21">
        <f t="shared" si="10"/>
        <v>125.0315970486364</v>
      </c>
      <c r="H20" s="22">
        <f t="shared" si="11"/>
        <v>11.181752861185782</v>
      </c>
      <c r="I20" s="27"/>
      <c r="J20" s="38">
        <f>AVERAGE((B20-$B$2)^2, (C20-$C$2)^2)</f>
        <v>3.9134386458000137</v>
      </c>
      <c r="K20" s="39">
        <f t="shared" si="12"/>
        <v>1.978241301206709</v>
      </c>
      <c r="L20" s="38">
        <f>AVERAGE((B20-$B$2)^2, (C20-$C$2)^2, (D20-$D$2)^2)</f>
        <v>6.0155757380333377</v>
      </c>
      <c r="M20" s="39">
        <f t="shared" si="13"/>
        <v>2.4526670662838317</v>
      </c>
    </row>
    <row r="21" spans="1:19" s="7" customFormat="1" x14ac:dyDescent="0.25">
      <c r="A21" s="19" t="s">
        <v>18</v>
      </c>
      <c r="B21" s="22">
        <v>45.387189999999997</v>
      </c>
      <c r="C21" s="22">
        <v>37.639289999999995</v>
      </c>
      <c r="D21" s="22">
        <v>16.973520000000001</v>
      </c>
      <c r="E21" s="38">
        <f t="shared" si="8"/>
        <v>78.667977598136844</v>
      </c>
      <c r="F21" s="39">
        <f t="shared" si="9"/>
        <v>8.8694970318579429</v>
      </c>
      <c r="G21" s="38">
        <f t="shared" si="10"/>
        <v>134.0631487749454</v>
      </c>
      <c r="H21" s="39">
        <f t="shared" si="11"/>
        <v>11.578564193152163</v>
      </c>
      <c r="J21" s="21">
        <f>AVERAGE((B21-$B$2)^2, (C21-$C$2)^2)</f>
        <v>4.4184629420500139</v>
      </c>
      <c r="K21" s="22">
        <f t="shared" si="12"/>
        <v>2.102014020421846</v>
      </c>
      <c r="L21" s="21">
        <f>AVERAGE((B21-$B$2)^2, (C21-$C$2)^2, (D21-$D$2)^2)</f>
        <v>8.209337441366678</v>
      </c>
      <c r="M21" s="22">
        <f t="shared" si="13"/>
        <v>2.8651941367674683</v>
      </c>
    </row>
    <row r="22" spans="1:19" x14ac:dyDescent="0.25">
      <c r="A22" s="4" t="s">
        <v>19</v>
      </c>
      <c r="B22" s="6">
        <v>33.333329999999997</v>
      </c>
      <c r="C22" s="6">
        <v>66.666669999999996</v>
      </c>
      <c r="D22" s="6">
        <v>0</v>
      </c>
      <c r="E22" s="10">
        <f t="shared" si="8"/>
        <v>611.44317639908479</v>
      </c>
      <c r="F22" s="6">
        <f t="shared" si="9"/>
        <v>24.727377062662445</v>
      </c>
      <c r="G22" s="10">
        <f t="shared" si="10"/>
        <v>408.21463311313528</v>
      </c>
      <c r="H22" s="6">
        <f t="shared" si="11"/>
        <v>20.204322139412035</v>
      </c>
      <c r="J22" s="10">
        <f>AVERAGE((B22-$B$2)^2, (C22-$C$2)^2)</f>
        <v>492.81984657664992</v>
      </c>
      <c r="K22" s="6">
        <f t="shared" si="12"/>
        <v>22.199546089428267</v>
      </c>
      <c r="L22" s="10">
        <f>AVERAGE((B22-$B$2)^2, (C22-$C$2)^2, (D22-$D$2)^2)</f>
        <v>384.87747107723334</v>
      </c>
      <c r="M22" s="6">
        <f t="shared" si="13"/>
        <v>19.618294295815662</v>
      </c>
    </row>
    <row r="23" spans="1:19" x14ac:dyDescent="0.25">
      <c r="A23" s="4" t="s">
        <v>20</v>
      </c>
      <c r="B23" s="6">
        <v>33.333329999999997</v>
      </c>
      <c r="C23" s="6">
        <v>55.403469999999999</v>
      </c>
      <c r="D23" s="6">
        <v>11.26319</v>
      </c>
      <c r="E23" s="10">
        <f t="shared" si="8"/>
        <v>388.99775499658494</v>
      </c>
      <c r="F23" s="6">
        <f t="shared" si="9"/>
        <v>19.723026010138124</v>
      </c>
      <c r="G23" s="10">
        <f t="shared" si="10"/>
        <v>292.24957412544779</v>
      </c>
      <c r="H23" s="6">
        <f t="shared" si="11"/>
        <v>17.095308541393681</v>
      </c>
      <c r="J23" s="10">
        <f>AVERAGE((B23-$B$2)^2, (C23-$C$2)^2)</f>
        <v>243.96023100065003</v>
      </c>
      <c r="K23" s="6">
        <f t="shared" si="12"/>
        <v>15.619226325290573</v>
      </c>
      <c r="L23" s="10">
        <f>AVERAGE((B23-$B$2)^2, (C23-$C$2)^2, (D23-$D$2)^2)</f>
        <v>163.64533281406668</v>
      </c>
      <c r="M23" s="6">
        <f t="shared" si="13"/>
        <v>12.792393552969932</v>
      </c>
    </row>
    <row r="24" spans="1:19" s="7" customFormat="1" x14ac:dyDescent="0.25">
      <c r="A24" s="14" t="s">
        <v>31</v>
      </c>
      <c r="B24" s="25">
        <v>47.303939999999997</v>
      </c>
      <c r="C24" s="25">
        <v>36.016740000000006</v>
      </c>
      <c r="D24" s="24">
        <v>16.679320000000001</v>
      </c>
      <c r="E24" s="44">
        <f t="shared" si="8"/>
        <v>64.732748183590502</v>
      </c>
      <c r="F24" s="43">
        <f t="shared" si="9"/>
        <v>8.0456664225898962</v>
      </c>
      <c r="G24" s="44">
        <f t="shared" si="10"/>
        <v>121.73279283524296</v>
      </c>
      <c r="H24" s="43">
        <f t="shared" si="11"/>
        <v>11.03325848674103</v>
      </c>
      <c r="I24"/>
      <c r="J24" s="25">
        <f>AVERAGE((B24-$B$2)^2, (C24-$C$2)^2)</f>
        <v>4.559060562049984</v>
      </c>
      <c r="K24" s="25">
        <f t="shared" si="12"/>
        <v>2.1351956730121913</v>
      </c>
      <c r="L24" s="25">
        <f>AVERAGE((B24-$B$2)^2, (C24-$C$2)^2, (D24-$D$2)^2)</f>
        <v>7.552525761366657</v>
      </c>
      <c r="M24" s="25">
        <f t="shared" si="13"/>
        <v>2.748185903712967</v>
      </c>
    </row>
    <row r="25" spans="1:19" s="7" customFormat="1" x14ac:dyDescent="0.25">
      <c r="A25" s="8" t="s">
        <v>32</v>
      </c>
      <c r="B25" s="17">
        <v>46.533629999999995</v>
      </c>
      <c r="C25" s="17">
        <v>38.939129999999999</v>
      </c>
      <c r="D25" s="17">
        <v>14.527239999999999</v>
      </c>
      <c r="E25" s="11">
        <f t="shared" si="8"/>
        <v>61.671373251273515</v>
      </c>
      <c r="F25" s="17">
        <f t="shared" si="9"/>
        <v>7.8531123289606342</v>
      </c>
      <c r="G25" s="11">
        <f t="shared" si="10"/>
        <v>99.207582377268693</v>
      </c>
      <c r="H25" s="17">
        <f t="shared" si="11"/>
        <v>9.9603003156164274</v>
      </c>
      <c r="J25" s="17">
        <f>AVERAGE((B25-$B$2)^2, (C25-$C$2)^2)</f>
        <v>1.1651321652500075</v>
      </c>
      <c r="K25" s="17">
        <f t="shared" si="12"/>
        <v>1.0794128798796165</v>
      </c>
      <c r="L25" s="17">
        <f>AVERAGE((B25-$B$2)^2, (C25-$C$2)^2, (D25-$D$2)^2)</f>
        <v>1.5545272269666708</v>
      </c>
      <c r="M25" s="17">
        <f t="shared" si="13"/>
        <v>1.2468068122073568</v>
      </c>
    </row>
    <row r="26" spans="1:19" s="7" customFormat="1" x14ac:dyDescent="0.25">
      <c r="A26" s="2" t="s">
        <v>33</v>
      </c>
      <c r="B26" s="3">
        <v>45.756489999999999</v>
      </c>
      <c r="C26" s="3">
        <v>40.94894</v>
      </c>
      <c r="D26" s="3">
        <v>13.29457</v>
      </c>
      <c r="E26" s="3">
        <f t="shared" si="8"/>
        <v>67.713735079755864</v>
      </c>
      <c r="F26" s="3">
        <f t="shared" si="9"/>
        <v>8.2288355846836474</v>
      </c>
      <c r="G26" s="3">
        <f t="shared" si="10"/>
        <v>92.893574303211395</v>
      </c>
      <c r="H26" s="3">
        <f t="shared" si="11"/>
        <v>9.6381312661330458</v>
      </c>
      <c r="I26"/>
      <c r="J26" t="s">
        <v>13</v>
      </c>
      <c r="K26" t="s">
        <v>13</v>
      </c>
      <c r="L26" t="s">
        <v>13</v>
      </c>
      <c r="M26" t="s">
        <v>13</v>
      </c>
    </row>
    <row r="27" spans="1:19" s="7" customFormat="1" x14ac:dyDescent="0.25">
      <c r="A27" s="14" t="s">
        <v>34</v>
      </c>
      <c r="B27" s="25">
        <v>40.09149</v>
      </c>
      <c r="C27" s="25">
        <v>40.373530000000002</v>
      </c>
      <c r="D27" s="25">
        <v>19.534990000000001</v>
      </c>
      <c r="E27" s="24">
        <f t="shared" si="8"/>
        <v>150.0168838663769</v>
      </c>
      <c r="F27" s="25">
        <f t="shared" si="9"/>
        <v>12.248137975479249</v>
      </c>
      <c r="G27" s="24">
        <f t="shared" si="10"/>
        <v>210.53703426412849</v>
      </c>
      <c r="H27" s="25">
        <f t="shared" si="11"/>
        <v>14.509894357442045</v>
      </c>
      <c r="I27"/>
      <c r="J27" s="24">
        <f>AVERAGE((B27-$B$11)^2, (C27-$C$11)^2)</f>
        <v>25.070625574100028</v>
      </c>
      <c r="K27" s="25">
        <f t="shared" ref="K27:K30" si="14">SQRT(J27)</f>
        <v>5.0070575764714373</v>
      </c>
      <c r="L27" s="24">
        <f>AVERAGE((B27-$B$11)^2, (C27-$C$11)^2, (D27-$D$11)^2)</f>
        <v>25.954141285433355</v>
      </c>
      <c r="M27" s="25">
        <f t="shared" ref="M27:M30" si="15">SQRT(L27)</f>
        <v>5.0945207120428275</v>
      </c>
    </row>
    <row r="28" spans="1:19" s="7" customFormat="1" x14ac:dyDescent="0.25">
      <c r="A28" s="8" t="s">
        <v>35</v>
      </c>
      <c r="B28" s="17">
        <v>47.121479999999998</v>
      </c>
      <c r="C28" s="17">
        <v>39.701799999999999</v>
      </c>
      <c r="D28" s="17">
        <v>13.17672</v>
      </c>
      <c r="E28" s="11">
        <f t="shared" si="8"/>
        <v>53.964318823890189</v>
      </c>
      <c r="F28" s="17">
        <f t="shared" si="9"/>
        <v>7.3460410306429811</v>
      </c>
      <c r="G28" s="11">
        <f t="shared" si="10"/>
        <v>82.791574077688963</v>
      </c>
      <c r="H28" s="17">
        <f t="shared" si="11"/>
        <v>9.0989875303623187</v>
      </c>
      <c r="J28" s="11">
        <f>AVERAGE((B28-$B$11)^2, (C28-$C$11)^2)</f>
        <v>0.46546135219999507</v>
      </c>
      <c r="K28" s="17">
        <f t="shared" si="14"/>
        <v>0.68224728083004849</v>
      </c>
      <c r="L28" s="11">
        <f>AVERAGE((B28-$B$47)^2, (C28-$C$47)^2, (D28-$D$47)^2)</f>
        <v>0.87934820239999778</v>
      </c>
      <c r="M28" s="17">
        <f t="shared" si="15"/>
        <v>0.93773567832305382</v>
      </c>
    </row>
    <row r="29" spans="1:19" x14ac:dyDescent="0.25">
      <c r="A29" s="9" t="s">
        <v>25</v>
      </c>
      <c r="B29" s="31">
        <v>57.388958391413581</v>
      </c>
      <c r="C29" s="31">
        <v>41.285316696986655</v>
      </c>
      <c r="D29" s="31">
        <v>1.3257249115997642</v>
      </c>
      <c r="J29" s="31">
        <f>AVERAGE((B29-$B$2)^2, (C29-$C$2)^2)</f>
        <v>46.263259871898839</v>
      </c>
      <c r="K29" s="31">
        <f t="shared" si="14"/>
        <v>6.8017100696735699</v>
      </c>
      <c r="L29" s="31">
        <f>AVERAGE((B29-$B$2)^2, (C29-$C$2)^2, (D29-$D$2)^2)</f>
        <v>76.269560355930167</v>
      </c>
      <c r="M29" s="31">
        <f t="shared" si="15"/>
        <v>8.7332445491884734</v>
      </c>
      <c r="N29" t="s">
        <v>36</v>
      </c>
    </row>
    <row r="30" spans="1:19" x14ac:dyDescent="0.25">
      <c r="J30" s="31">
        <f>AVERAGE((B29-$B$11)^2, (C29-$C$11)^2)</f>
        <v>57.361840861241241</v>
      </c>
      <c r="K30" s="31">
        <f t="shared" si="14"/>
        <v>7.5737600213659553</v>
      </c>
      <c r="L30" s="31">
        <f>AVERAGE((B29-$B$11)^2, (C29-$C$11)^2, (D29-$D$11)^2)</f>
        <v>94.091783480547917</v>
      </c>
      <c r="M30" s="31">
        <f t="shared" si="15"/>
        <v>9.7000919315513663</v>
      </c>
      <c r="N30" t="s">
        <v>37</v>
      </c>
      <c r="O30" t="s">
        <v>13</v>
      </c>
    </row>
    <row r="31" spans="1:19" x14ac:dyDescent="0.25">
      <c r="A31" s="1" t="s">
        <v>75</v>
      </c>
      <c r="B31" s="12" t="s">
        <v>4</v>
      </c>
      <c r="C31" s="12" t="s">
        <v>1</v>
      </c>
      <c r="D31" s="1" t="s">
        <v>39</v>
      </c>
      <c r="E31" s="12" t="s">
        <v>77</v>
      </c>
      <c r="F31" s="12" t="s">
        <v>78</v>
      </c>
      <c r="G31" s="12" t="s">
        <v>79</v>
      </c>
      <c r="H31" s="12" t="s">
        <v>80</v>
      </c>
    </row>
    <row r="32" spans="1:19" x14ac:dyDescent="0.25">
      <c r="A32" s="2" t="s">
        <v>30</v>
      </c>
      <c r="B32" s="3">
        <v>47.871490000000001</v>
      </c>
      <c r="C32" s="3">
        <v>39.357430000000001</v>
      </c>
      <c r="D32" s="3">
        <v>12.771080000000001</v>
      </c>
      <c r="E32" s="3">
        <f>AVERAGE((B32-$B$14)^2, (C32-$C$14)^2)</f>
        <v>47.14947584898735</v>
      </c>
      <c r="F32" s="3">
        <f>SQRT(E32)</f>
        <v>6.8665475931495115</v>
      </c>
      <c r="G32" s="3">
        <f>AVERAGE((B32-$B$14)^2, (C32-$C$14)^2, (D32-$D$14)^2)</f>
        <v>75.098368265847967</v>
      </c>
      <c r="H32" s="3">
        <f>SQRT(G32)</f>
        <v>8.6659314713334759</v>
      </c>
      <c r="J32" s="12" t="s">
        <v>77</v>
      </c>
      <c r="K32" s="12" t="s">
        <v>78</v>
      </c>
      <c r="L32" s="12" t="s">
        <v>79</v>
      </c>
      <c r="M32" s="12" t="s">
        <v>80</v>
      </c>
    </row>
    <row r="33" spans="1:17" x14ac:dyDescent="0.25">
      <c r="A33" s="5" t="s">
        <v>15</v>
      </c>
      <c r="B33" s="6">
        <v>39.106380000000001</v>
      </c>
      <c r="C33" s="6">
        <v>42.127659999999999</v>
      </c>
      <c r="D33" s="6">
        <v>18.76596</v>
      </c>
      <c r="E33" s="10">
        <f t="shared" ref="E33:E43" si="16">AVERAGE((B33-$B$14)^2, (C33-$C$14)^2)</f>
        <v>167.48110743915709</v>
      </c>
      <c r="F33" s="6">
        <f t="shared" ref="F33:F43" si="17">SQRT(E33)</f>
        <v>12.941449201660419</v>
      </c>
      <c r="G33" s="10">
        <f t="shared" ref="G33:G43" si="18">AVERAGE((B33-$B$14)^2, (C33-$C$14)^2, (D33-$D$14)^2)</f>
        <v>213.04133827232695</v>
      </c>
      <c r="H33" s="6">
        <f t="shared" ref="H33:H43" si="19">SQRT(G33)</f>
        <v>14.595935676493198</v>
      </c>
      <c r="J33" s="10">
        <f>AVERAGE((B33-$B$2)^2, (C33-$C$2)^2)</f>
        <v>45.165140481649985</v>
      </c>
      <c r="K33" s="6">
        <f t="shared" ref="K33:K45" si="20">SQRT(J33)</f>
        <v>6.7205015052189356</v>
      </c>
      <c r="L33" s="10">
        <f>AVERAGE((B33-$B$2)^2, (C33-$C$2)^2, (D33-$D$2)^2)</f>
        <v>41.193268233633326</v>
      </c>
      <c r="M33" s="6">
        <f t="shared" ref="M33:M45" si="21">SQRT(L33)</f>
        <v>6.4181982077241369</v>
      </c>
    </row>
    <row r="34" spans="1:17" x14ac:dyDescent="0.25">
      <c r="A34" s="4" t="s">
        <v>16</v>
      </c>
      <c r="B34" s="6">
        <v>37.147239999999996</v>
      </c>
      <c r="C34" s="6">
        <v>41.717790000000001</v>
      </c>
      <c r="D34" s="6">
        <v>21.134969999999999</v>
      </c>
      <c r="E34" s="10">
        <f t="shared" si="16"/>
        <v>204.95709829755512</v>
      </c>
      <c r="F34" s="6">
        <f t="shared" si="17"/>
        <v>14.316322792447616</v>
      </c>
      <c r="G34" s="10">
        <f t="shared" si="18"/>
        <v>267.44012918913967</v>
      </c>
      <c r="H34" s="6">
        <f t="shared" si="19"/>
        <v>16.353596827277467</v>
      </c>
      <c r="J34" s="10">
        <f>AVERAGE((B34-$B$2)^2, (C34-$C$2)^2)</f>
        <v>63.403472095300039</v>
      </c>
      <c r="K34" s="6">
        <f t="shared" si="20"/>
        <v>7.9626297223530393</v>
      </c>
      <c r="L34" s="10">
        <f>AVERAGE((B34-$B$2)^2, (C34-$C$2)^2, (D34-$D$2)^2)</f>
        <v>64.329745584366677</v>
      </c>
      <c r="M34" s="6">
        <f t="shared" si="21"/>
        <v>8.0205826212543112</v>
      </c>
    </row>
    <row r="35" spans="1:17" x14ac:dyDescent="0.25">
      <c r="A35" s="20" t="s">
        <v>17</v>
      </c>
      <c r="B35" s="22">
        <v>45.403379999999999</v>
      </c>
      <c r="C35" s="22">
        <v>38.461539999999999</v>
      </c>
      <c r="D35" s="22">
        <v>16.135079999999999</v>
      </c>
      <c r="E35" s="21">
        <f t="shared" si="16"/>
        <v>75.813902105582542</v>
      </c>
      <c r="F35" s="22">
        <f t="shared" si="17"/>
        <v>8.7071178989136548</v>
      </c>
      <c r="G35" s="21">
        <f t="shared" si="18"/>
        <v>123.64826744849699</v>
      </c>
      <c r="H35" s="22">
        <f t="shared" si="19"/>
        <v>11.119724252358823</v>
      </c>
      <c r="I35" s="7"/>
      <c r="J35" s="21">
        <f>AVERAGE((B35-$B$2)^2, (C35-$C$2)^2)</f>
        <v>3.6437423964500044</v>
      </c>
      <c r="K35" s="22">
        <f t="shared" si="20"/>
        <v>1.9088589252351795</v>
      </c>
      <c r="L35" s="21">
        <f>AVERAGE((B35-$B$2)^2, (C35-$C$2)^2, (D35-$D$2)^2)</f>
        <v>5.7059890408333338</v>
      </c>
      <c r="M35" s="22">
        <f t="shared" si="21"/>
        <v>2.3887212145483478</v>
      </c>
    </row>
    <row r="36" spans="1:17" s="7" customFormat="1" x14ac:dyDescent="0.25">
      <c r="A36" s="41" t="s">
        <v>18</v>
      </c>
      <c r="B36" s="39">
        <v>45.401119999999999</v>
      </c>
      <c r="C36" s="39">
        <v>37.643259999999998</v>
      </c>
      <c r="D36" s="39">
        <v>16.955629999999999</v>
      </c>
      <c r="E36" s="38">
        <f t="shared" si="16"/>
        <v>78.486423141357363</v>
      </c>
      <c r="F36" s="39">
        <f t="shared" si="17"/>
        <v>8.8592563537442217</v>
      </c>
      <c r="G36" s="38">
        <f t="shared" si="18"/>
        <v>133.75559311837142</v>
      </c>
      <c r="H36" s="39">
        <f t="shared" si="19"/>
        <v>11.565275315286334</v>
      </c>
      <c r="I36" s="27"/>
      <c r="J36" s="38">
        <f>AVERAGE((B36-$B$2)^2, (C36-$C$2)^2)</f>
        <v>4.376169137650006</v>
      </c>
      <c r="K36" s="39">
        <f t="shared" si="20"/>
        <v>2.0919295250199053</v>
      </c>
      <c r="L36" s="38">
        <f>AVERAGE((B36-$B$2)^2, (C36-$C$2)^2, (D36-$D$2)^2)</f>
        <v>8.1338540678000015</v>
      </c>
      <c r="M36" s="39">
        <f t="shared" si="21"/>
        <v>2.8519912460945602</v>
      </c>
    </row>
    <row r="37" spans="1:17" x14ac:dyDescent="0.25">
      <c r="A37" s="4" t="s">
        <v>19</v>
      </c>
      <c r="B37" s="6">
        <v>33.333329999999997</v>
      </c>
      <c r="C37" s="6">
        <v>66.666669999999996</v>
      </c>
      <c r="D37" s="6">
        <v>0</v>
      </c>
      <c r="E37" s="10">
        <f t="shared" si="16"/>
        <v>611.44317639908479</v>
      </c>
      <c r="F37" s="6">
        <f t="shared" si="17"/>
        <v>24.727377062662445</v>
      </c>
      <c r="G37" s="10">
        <f t="shared" si="18"/>
        <v>408.21463311313528</v>
      </c>
      <c r="H37" s="6">
        <f t="shared" si="19"/>
        <v>20.204322139412035</v>
      </c>
      <c r="J37" s="10">
        <f>AVERAGE((B37-$B$2)^2, (C37-$C$2)^2)</f>
        <v>492.81984657664992</v>
      </c>
      <c r="K37" s="6">
        <f t="shared" si="20"/>
        <v>22.199546089428267</v>
      </c>
      <c r="L37" s="10">
        <f>AVERAGE((B37-$B$2)^2, (C37-$C$2)^2, (D37-$D$2)^2)</f>
        <v>384.87747107723334</v>
      </c>
      <c r="M37" s="6">
        <f t="shared" si="21"/>
        <v>19.618294295815662</v>
      </c>
    </row>
    <row r="38" spans="1:17" s="7" customFormat="1" x14ac:dyDescent="0.25">
      <c r="A38" s="4" t="s">
        <v>20</v>
      </c>
      <c r="B38" s="6">
        <v>33.333329999999997</v>
      </c>
      <c r="C38" s="6">
        <v>55.481729999999999</v>
      </c>
      <c r="D38" s="6">
        <v>11.184940000000001</v>
      </c>
      <c r="E38" s="10">
        <f t="shared" si="16"/>
        <v>390.10570398787877</v>
      </c>
      <c r="F38" s="6">
        <f t="shared" si="17"/>
        <v>19.7510937415597</v>
      </c>
      <c r="G38" s="10">
        <f t="shared" si="18"/>
        <v>292.47184337836546</v>
      </c>
      <c r="H38" s="6">
        <f t="shared" si="19"/>
        <v>17.101808190316177</v>
      </c>
      <c r="I38"/>
      <c r="J38" s="10">
        <f>AVERAGE((B38-$B$2)^2, (C38-$C$2)^2)</f>
        <v>245.25171352025006</v>
      </c>
      <c r="K38" s="6">
        <f t="shared" si="20"/>
        <v>15.660514471761458</v>
      </c>
      <c r="L38" s="10">
        <f>AVERAGE((B38-$B$2)^2, (C38-$C$2)^2, (D38-$D$2)^2)</f>
        <v>164.5989511629667</v>
      </c>
      <c r="M38" s="6">
        <f t="shared" si="21"/>
        <v>12.829612276408305</v>
      </c>
    </row>
    <row r="39" spans="1:17" s="7" customFormat="1" x14ac:dyDescent="0.25">
      <c r="A39" s="42" t="s">
        <v>31</v>
      </c>
      <c r="B39" s="43">
        <v>47.46434</v>
      </c>
      <c r="C39" s="43">
        <v>36.053879999999999</v>
      </c>
      <c r="D39" s="44">
        <v>16.481770000000001</v>
      </c>
      <c r="E39" s="44">
        <f t="shared" si="16"/>
        <v>62.932990064881679</v>
      </c>
      <c r="F39" s="43">
        <f t="shared" si="17"/>
        <v>7.9330315809835072</v>
      </c>
      <c r="G39" s="44">
        <f t="shared" si="18"/>
        <v>118.52389428379477</v>
      </c>
      <c r="H39" s="43">
        <f t="shared" si="19"/>
        <v>10.886867974022408</v>
      </c>
      <c r="I39"/>
      <c r="J39" s="17">
        <f>AVERAGE((B39-$B$2)^2, (C39-$C$2)^2)</f>
        <v>4.3427431718499996</v>
      </c>
      <c r="K39" s="17">
        <f t="shared" si="20"/>
        <v>2.0839249439099286</v>
      </c>
      <c r="L39" s="25">
        <f>AVERAGE((B39-$B$2)^2, (C39-$C$2)^2, (D39-$D$2)^2)</f>
        <v>6.9367195154000028</v>
      </c>
      <c r="M39" s="25">
        <f t="shared" si="21"/>
        <v>2.6337652734061177</v>
      </c>
    </row>
    <row r="40" spans="1:17" s="7" customFormat="1" x14ac:dyDescent="0.25">
      <c r="A40" s="42" t="s">
        <v>32</v>
      </c>
      <c r="B40" s="43">
        <v>46.138869999999997</v>
      </c>
      <c r="C40" s="43">
        <v>39.065539999999999</v>
      </c>
      <c r="D40" s="43">
        <v>14.795590000000001</v>
      </c>
      <c r="E40" s="11">
        <f t="shared" si="16"/>
        <v>65.745948699551832</v>
      </c>
      <c r="F40" s="17">
        <f t="shared" si="17"/>
        <v>8.1083875523775895</v>
      </c>
      <c r="G40" s="11">
        <f t="shared" si="18"/>
        <v>104.30972096626907</v>
      </c>
      <c r="H40" s="17">
        <f t="shared" si="19"/>
        <v>10.213213057910281</v>
      </c>
      <c r="I40"/>
      <c r="J40" s="43">
        <f>AVERAGE((B40-$B$2)^2, (C40-$C$2)^2)</f>
        <v>1.8535209992000057</v>
      </c>
      <c r="K40" s="43">
        <f t="shared" si="20"/>
        <v>1.3614407806438023</v>
      </c>
      <c r="L40" s="43">
        <f>AVERAGE((B40-$B$2)^2, (C40-$C$2)^2, (D40-$D$2)^2)</f>
        <v>2.3107303517666713</v>
      </c>
      <c r="M40" s="43">
        <f t="shared" si="21"/>
        <v>1.5201086644601007</v>
      </c>
    </row>
    <row r="41" spans="1:17" s="7" customFormat="1" x14ac:dyDescent="0.25">
      <c r="A41" s="2" t="s">
        <v>33</v>
      </c>
      <c r="B41" s="3">
        <v>47.127219999999994</v>
      </c>
      <c r="C41" s="3">
        <v>38.303690000000003</v>
      </c>
      <c r="D41" s="3">
        <v>14.569080000000001</v>
      </c>
      <c r="E41" s="3">
        <f t="shared" si="16"/>
        <v>57.096686286997524</v>
      </c>
      <c r="F41" s="3">
        <f t="shared" si="17"/>
        <v>7.5562349279914214</v>
      </c>
      <c r="G41" s="3">
        <f t="shared" si="18"/>
        <v>96.526608857150507</v>
      </c>
      <c r="H41" s="3">
        <f t="shared" si="19"/>
        <v>9.8247956140140911</v>
      </c>
      <c r="I41"/>
      <c r="J41" t="s">
        <v>13</v>
      </c>
      <c r="K41" t="s">
        <v>13</v>
      </c>
      <c r="L41" t="s">
        <v>13</v>
      </c>
      <c r="M41" t="s">
        <v>13</v>
      </c>
    </row>
    <row r="42" spans="1:17" s="7" customFormat="1" x14ac:dyDescent="0.25">
      <c r="A42" s="14" t="s">
        <v>34</v>
      </c>
      <c r="B42" s="25">
        <v>39.895599999999995</v>
      </c>
      <c r="C42" s="25">
        <v>40.4176</v>
      </c>
      <c r="D42" s="25">
        <v>19.686799999999998</v>
      </c>
      <c r="E42" s="24">
        <f t="shared" si="16"/>
        <v>153.38526003833479</v>
      </c>
      <c r="F42" s="25">
        <f t="shared" si="17"/>
        <v>12.384880299717668</v>
      </c>
      <c r="G42" s="24">
        <f t="shared" si="18"/>
        <v>214.6331994928471</v>
      </c>
      <c r="H42" s="25">
        <f t="shared" si="19"/>
        <v>14.650365165853277</v>
      </c>
      <c r="I42"/>
      <c r="J42" s="24">
        <f>AVERAGE((B42-$B$11)^2, (C42-$C$11)^2)</f>
        <v>26.512480959400065</v>
      </c>
      <c r="K42" s="25">
        <f t="shared" ref="K42:K45" si="22">SQRT(J42)</f>
        <v>5.149027185731307</v>
      </c>
      <c r="L42" s="24">
        <f>AVERAGE((B42-$B$11)^2, (C42-$C$11)^2, (D42-$D$11)^2)</f>
        <v>27.45592250960004</v>
      </c>
      <c r="M42" s="25">
        <f t="shared" ref="M42:M45" si="23">SQRT(L42)</f>
        <v>5.2398399316773068</v>
      </c>
    </row>
    <row r="43" spans="1:17" s="7" customFormat="1" x14ac:dyDescent="0.25">
      <c r="A43" s="8" t="s">
        <v>35</v>
      </c>
      <c r="B43" s="17">
        <v>46.81353</v>
      </c>
      <c r="C43" s="17">
        <v>39.889849999999996</v>
      </c>
      <c r="D43" s="17">
        <v>13.296620000000001</v>
      </c>
      <c r="E43" s="11">
        <f t="shared" si="16"/>
        <v>56.893506482157655</v>
      </c>
      <c r="F43" s="17">
        <f t="shared" si="17"/>
        <v>7.5427784325245595</v>
      </c>
      <c r="G43" s="11">
        <f t="shared" si="18"/>
        <v>85.696447393933411</v>
      </c>
      <c r="H43" s="17">
        <f t="shared" si="19"/>
        <v>9.2572375681913552</v>
      </c>
      <c r="I43"/>
      <c r="J43" s="11">
        <f>AVERAGE((B43-$B$11)^2, (C43-$C$11)^2)</f>
        <v>0.66753505369999233</v>
      </c>
      <c r="K43" s="17">
        <f t="shared" si="22"/>
        <v>0.817028184152782</v>
      </c>
      <c r="L43" s="11">
        <f>AVERAGE((B43-$B$47)^2, (C43-$C$47)^2, (D43-$D$47)^2)</f>
        <v>1.3375731580666603</v>
      </c>
      <c r="M43" s="17">
        <f t="shared" si="23"/>
        <v>1.1565349791799038</v>
      </c>
    </row>
    <row r="44" spans="1:17" x14ac:dyDescent="0.25">
      <c r="A44" s="9" t="s">
        <v>25</v>
      </c>
      <c r="B44" s="31">
        <v>57.388958391413581</v>
      </c>
      <c r="C44" s="31">
        <v>41.285316696986655</v>
      </c>
      <c r="D44" s="31">
        <v>1.3257249115997642</v>
      </c>
      <c r="J44" s="31">
        <f>AVERAGE((B44-$B$2)^2, (C44-$C$2)^2)</f>
        <v>46.263259871898839</v>
      </c>
      <c r="K44" s="31">
        <f t="shared" si="22"/>
        <v>6.8017100696735699</v>
      </c>
      <c r="L44" s="31">
        <f>AVERAGE((B44-$B$2)^2, (C44-$C$2)^2, (D44-$D$2)^2)</f>
        <v>76.269560355930167</v>
      </c>
      <c r="M44" s="31">
        <f t="shared" si="23"/>
        <v>8.7332445491884734</v>
      </c>
      <c r="N44" t="s">
        <v>36</v>
      </c>
    </row>
    <row r="45" spans="1:17" x14ac:dyDescent="0.25">
      <c r="J45" s="31">
        <f>AVERAGE((B44-$B$11)^2, (C44-$C$11)^2)</f>
        <v>57.361840861241241</v>
      </c>
      <c r="K45" s="31">
        <f t="shared" si="22"/>
        <v>7.5737600213659553</v>
      </c>
      <c r="L45" s="31">
        <f>AVERAGE((B44-$B$11)^2, (C44-$C$11)^2, (D44-$D$11)^2)</f>
        <v>94.091783480547917</v>
      </c>
      <c r="M45" s="31">
        <f t="shared" si="23"/>
        <v>9.7000919315513663</v>
      </c>
      <c r="N45" t="s">
        <v>37</v>
      </c>
      <c r="Q45" t="s">
        <v>13</v>
      </c>
    </row>
    <row r="46" spans="1:17" x14ac:dyDescent="0.25">
      <c r="A46" s="40" t="s">
        <v>76</v>
      </c>
      <c r="B46" s="12" t="s">
        <v>4</v>
      </c>
      <c r="C46" s="12" t="s">
        <v>1</v>
      </c>
      <c r="D46" s="1" t="s">
        <v>39</v>
      </c>
      <c r="E46" s="12" t="s">
        <v>77</v>
      </c>
      <c r="F46" s="12" t="s">
        <v>78</v>
      </c>
      <c r="G46" s="12" t="s">
        <v>79</v>
      </c>
      <c r="H46" s="12" t="s">
        <v>80</v>
      </c>
    </row>
    <row r="47" spans="1:17" x14ac:dyDescent="0.25">
      <c r="A47" s="2" t="s">
        <v>30</v>
      </c>
      <c r="B47" s="3">
        <v>48.446739999999998</v>
      </c>
      <c r="C47" s="3">
        <v>38.996900000000004</v>
      </c>
      <c r="D47" s="3">
        <v>12.55636</v>
      </c>
      <c r="E47" s="3">
        <f>AVERAGE((B47-$B$14)^2, (C47-$C$14)^2)</f>
        <v>42.600060369391308</v>
      </c>
      <c r="F47" s="3">
        <f>SQRT(E47)</f>
        <v>6.5268721735139952</v>
      </c>
      <c r="G47" s="3">
        <f>AVERAGE((B47-$B$14)^2, (C47-$C$14)^2, (D47-$D$14)^2)</f>
        <v>70.442428409196395</v>
      </c>
      <c r="H47" s="3">
        <f>SQRT(G47)</f>
        <v>8.3929987733346181</v>
      </c>
      <c r="J47" s="12" t="s">
        <v>77</v>
      </c>
      <c r="K47" s="12" t="s">
        <v>78</v>
      </c>
      <c r="L47" s="12" t="s">
        <v>79</v>
      </c>
      <c r="M47" s="12" t="s">
        <v>80</v>
      </c>
    </row>
    <row r="48" spans="1:17" x14ac:dyDescent="0.25">
      <c r="A48" s="5" t="s">
        <v>15</v>
      </c>
      <c r="B48" s="6">
        <v>39.361750000000001</v>
      </c>
      <c r="C48" s="6">
        <v>42.385120000000001</v>
      </c>
      <c r="D48" s="6">
        <v>18.253140000000002</v>
      </c>
      <c r="E48" s="10">
        <f t="shared" ref="E48:E58" si="24">AVERAGE((B48-$B$14)^2, (C48-$C$14)^2)</f>
        <v>163.09490484638565</v>
      </c>
      <c r="F48" s="6">
        <f t="shared" ref="F48:F58" si="25">SQRT(E48)</f>
        <v>12.770861554585331</v>
      </c>
      <c r="G48" s="10">
        <f t="shared" ref="G48:G58" si="26">AVERAGE((B48-$B$14)^2, (C48-$C$14)^2, (D48-$D$14)^2)</f>
        <v>204.24239708925711</v>
      </c>
      <c r="H48" s="6">
        <f t="shared" ref="H48:H58" si="27">SQRT(G48)</f>
        <v>14.291339933304263</v>
      </c>
      <c r="J48" s="10">
        <f>AVERAGE((B48-$B$2)^2, (C48-$C$2)^2)</f>
        <v>43.765024880199995</v>
      </c>
      <c r="K48" s="6">
        <f t="shared" ref="K48:K60" si="28">SQRT(J48)</f>
        <v>6.6155139543500319</v>
      </c>
      <c r="L48" s="10">
        <f>AVERAGE((B48-$B$2)^2, (C48-$C$2)^2, (D48-$D$2)^2)</f>
        <v>38.376157152266671</v>
      </c>
      <c r="M48" s="6">
        <f t="shared" ref="M48:M60" si="29">SQRT(L48)</f>
        <v>6.1948492437077656</v>
      </c>
    </row>
    <row r="49" spans="1:14" x14ac:dyDescent="0.25">
      <c r="A49" s="4" t="s">
        <v>16</v>
      </c>
      <c r="B49" s="6">
        <v>37.180819999999997</v>
      </c>
      <c r="C49" s="6">
        <v>42.111359999999998</v>
      </c>
      <c r="D49" s="6">
        <v>20.707819999999998</v>
      </c>
      <c r="E49" s="10">
        <f t="shared" si="24"/>
        <v>204.52560239248839</v>
      </c>
      <c r="F49" s="6">
        <f t="shared" si="25"/>
        <v>14.301244784720259</v>
      </c>
      <c r="G49" s="10">
        <f t="shared" si="26"/>
        <v>261.57227160025508</v>
      </c>
      <c r="H49" s="6">
        <f t="shared" si="27"/>
        <v>16.173196084888573</v>
      </c>
      <c r="J49" s="10">
        <f>AVERAGE((B49-$B$2)^2, (C49-$C$2)^2)</f>
        <v>64.208228768650031</v>
      </c>
      <c r="K49" s="6">
        <f t="shared" si="28"/>
        <v>8.0130037294793528</v>
      </c>
      <c r="L49" s="10">
        <f>AVERAGE((B49-$B$2)^2, (C49-$C$2)^2, (D49-$D$2)^2)</f>
        <v>62.610421049100012</v>
      </c>
      <c r="M49" s="6">
        <f t="shared" si="29"/>
        <v>7.912674708914806</v>
      </c>
    </row>
    <row r="50" spans="1:14" x14ac:dyDescent="0.25">
      <c r="A50" s="20" t="s">
        <v>17</v>
      </c>
      <c r="B50" s="22">
        <v>45.305</v>
      </c>
      <c r="C50" s="22">
        <v>38.511109999999995</v>
      </c>
      <c r="D50" s="22">
        <v>16.183900000000001</v>
      </c>
      <c r="E50" s="21">
        <f t="shared" si="24"/>
        <v>76.859136601510173</v>
      </c>
      <c r="F50" s="22">
        <f t="shared" si="25"/>
        <v>8.7669342761030311</v>
      </c>
      <c r="G50" s="21">
        <f t="shared" si="26"/>
        <v>124.82788005352592</v>
      </c>
      <c r="H50" s="22">
        <f t="shared" si="27"/>
        <v>11.172639797895837</v>
      </c>
      <c r="I50" s="7"/>
      <c r="J50" s="21">
        <f>AVERAGE((B50-$B$2)^2, (C50-$C$2)^2)</f>
        <v>3.8874591317000031</v>
      </c>
      <c r="K50" s="22">
        <f t="shared" si="28"/>
        <v>1.9716640514296555</v>
      </c>
      <c r="L50" s="21">
        <f>AVERAGE((B50-$B$2)^2, (C50-$C$2)^2, (D50-$D$2)^2)</f>
        <v>5.9713068452666711</v>
      </c>
      <c r="M50" s="22">
        <f t="shared" si="29"/>
        <v>2.4436257580216063</v>
      </c>
    </row>
    <row r="51" spans="1:14" s="7" customFormat="1" x14ac:dyDescent="0.25">
      <c r="A51" s="41" t="s">
        <v>18</v>
      </c>
      <c r="B51" s="39">
        <v>45.386189999999999</v>
      </c>
      <c r="C51" s="39">
        <v>37.643979999999999</v>
      </c>
      <c r="D51" s="39">
        <v>16.969829999999998</v>
      </c>
      <c r="E51" s="38">
        <f t="shared" si="24"/>
        <v>78.662890999369338</v>
      </c>
      <c r="F51" s="39">
        <f t="shared" si="25"/>
        <v>8.8692102804798427</v>
      </c>
      <c r="G51" s="38">
        <f t="shared" si="26"/>
        <v>134.02126867188292</v>
      </c>
      <c r="H51" s="39">
        <f t="shared" si="27"/>
        <v>11.57675553304478</v>
      </c>
      <c r="I51" s="27"/>
      <c r="J51" s="38">
        <f>AVERAGE((B51-$B$2)^2, (C51-$C$2)^2)</f>
        <v>4.4150464136000034</v>
      </c>
      <c r="K51" s="39">
        <f t="shared" si="28"/>
        <v>2.10120118351385</v>
      </c>
      <c r="L51" s="38">
        <f>AVERAGE((B51-$B$2)^2, (C51-$C$2)^2, (D51-$D$2)^2)</f>
        <v>8.1972887464333315</v>
      </c>
      <c r="M51" s="39">
        <f t="shared" si="29"/>
        <v>2.86309076810941</v>
      </c>
    </row>
    <row r="52" spans="1:14" x14ac:dyDescent="0.25">
      <c r="A52" s="4" t="s">
        <v>19</v>
      </c>
      <c r="B52" s="6">
        <v>33.333329999999997</v>
      </c>
      <c r="C52" s="6">
        <v>66.666669999999996</v>
      </c>
      <c r="D52" s="6">
        <v>0</v>
      </c>
      <c r="E52" s="10">
        <f t="shared" si="24"/>
        <v>611.44317639908479</v>
      </c>
      <c r="F52" s="6">
        <f t="shared" si="25"/>
        <v>24.727377062662445</v>
      </c>
      <c r="G52" s="10">
        <f t="shared" si="26"/>
        <v>408.21463311313528</v>
      </c>
      <c r="H52" s="6">
        <f t="shared" si="27"/>
        <v>20.204322139412035</v>
      </c>
      <c r="J52" s="10">
        <f>AVERAGE((B52-$B$2)^2, (C52-$C$2)^2)</f>
        <v>492.81984657664992</v>
      </c>
      <c r="K52" s="6">
        <f t="shared" si="28"/>
        <v>22.199546089428267</v>
      </c>
      <c r="L52" s="10">
        <f>AVERAGE((B52-$B$2)^2, (C52-$C$2)^2, (D52-$D$2)^2)</f>
        <v>384.87747107723334</v>
      </c>
      <c r="M52" s="6">
        <f t="shared" si="29"/>
        <v>19.618294295815662</v>
      </c>
    </row>
    <row r="53" spans="1:14" s="7" customFormat="1" x14ac:dyDescent="0.25">
      <c r="A53" s="4" t="s">
        <v>20</v>
      </c>
      <c r="B53" s="6">
        <v>33.333329999999997</v>
      </c>
      <c r="C53" s="6">
        <v>55.405369999999998</v>
      </c>
      <c r="D53" s="6">
        <v>11.2613</v>
      </c>
      <c r="E53" s="10">
        <f t="shared" si="24"/>
        <v>389.02458129286066</v>
      </c>
      <c r="F53" s="6">
        <f t="shared" si="25"/>
        <v>19.723706073982665</v>
      </c>
      <c r="G53" s="10">
        <f t="shared" si="26"/>
        <v>292.25493830765356</v>
      </c>
      <c r="H53" s="6">
        <f t="shared" si="27"/>
        <v>17.095465431150259</v>
      </c>
      <c r="I53"/>
      <c r="J53" s="10">
        <f>AVERAGE((B53-$B$2)^2, (C53-$C$2)^2)</f>
        <v>243.99151313265003</v>
      </c>
      <c r="K53" s="6">
        <f t="shared" si="28"/>
        <v>15.620227691447075</v>
      </c>
      <c r="L53" s="10">
        <f>AVERAGE((B53-$B$2)^2, (C53-$C$2)^2, (D53-$D$2)^2)</f>
        <v>163.66837678723334</v>
      </c>
      <c r="M53" s="6">
        <f t="shared" si="29"/>
        <v>12.793294211704557</v>
      </c>
    </row>
    <row r="54" spans="1:14" s="7" customFormat="1" x14ac:dyDescent="0.25">
      <c r="A54" s="14" t="s">
        <v>31</v>
      </c>
      <c r="B54" s="25">
        <v>47.308410000000002</v>
      </c>
      <c r="C54" s="25">
        <v>35.992629999999998</v>
      </c>
      <c r="D54" s="24">
        <v>16.69895</v>
      </c>
      <c r="E54" s="44">
        <f t="shared" si="24"/>
        <v>64.814994172045203</v>
      </c>
      <c r="F54" s="43">
        <f t="shared" si="25"/>
        <v>8.050775998128703</v>
      </c>
      <c r="G54" s="44">
        <f t="shared" si="26"/>
        <v>121.98867932090296</v>
      </c>
      <c r="H54" s="43">
        <f t="shared" si="27"/>
        <v>11.044848542234654</v>
      </c>
      <c r="I54"/>
      <c r="J54" s="24">
        <f>AVERAGE((B54-$B$2)^2, (C54-$C$2)^2)</f>
        <v>4.6264641138500018</v>
      </c>
      <c r="K54" s="25">
        <f t="shared" si="28"/>
        <v>2.1509216893810899</v>
      </c>
      <c r="L54" s="24">
        <f>AVERAGE((B54-$B$2)^2, (C54-$C$2)^2, (D54-$D$2)^2)</f>
        <v>7.6457436068666675</v>
      </c>
      <c r="M54" s="25">
        <f t="shared" si="29"/>
        <v>2.7650937790365568</v>
      </c>
    </row>
    <row r="55" spans="1:14" s="7" customFormat="1" x14ac:dyDescent="0.25">
      <c r="A55" s="8" t="s">
        <v>32</v>
      </c>
      <c r="B55" s="17">
        <v>46.520060000000001</v>
      </c>
      <c r="C55" s="17">
        <v>38.96781</v>
      </c>
      <c r="D55" s="11">
        <v>14.512130000000001</v>
      </c>
      <c r="E55" s="11">
        <f t="shared" si="24"/>
        <v>61.751894766725357</v>
      </c>
      <c r="F55" s="17">
        <f t="shared" si="25"/>
        <v>7.8582373829457044</v>
      </c>
      <c r="G55" s="11">
        <f t="shared" si="26"/>
        <v>99.128356229612791</v>
      </c>
      <c r="H55" s="17">
        <f t="shared" si="27"/>
        <v>9.9563224249525391</v>
      </c>
      <c r="J55" s="11">
        <f>AVERAGE((B55-$B$2)^2, (C55-$C$2)^2)</f>
        <v>1.1863214184999988</v>
      </c>
      <c r="K55" s="17">
        <f t="shared" si="28"/>
        <v>1.0891838313618132</v>
      </c>
      <c r="L55" s="11">
        <f>AVERAGE((B55-$B$2)^2, (C55-$C$2)^2, (D55-$D$2)^2)</f>
        <v>1.5533422817000002</v>
      </c>
      <c r="M55" s="17">
        <f t="shared" si="29"/>
        <v>1.2463315296099993</v>
      </c>
    </row>
    <row r="56" spans="1:14" s="7" customFormat="1" x14ac:dyDescent="0.25">
      <c r="A56" s="2" t="s">
        <v>33</v>
      </c>
      <c r="B56" s="3">
        <v>46.257899999999999</v>
      </c>
      <c r="C56" s="3">
        <v>40.936620000000005</v>
      </c>
      <c r="D56" s="3">
        <v>12.805490000000001</v>
      </c>
      <c r="E56" s="3">
        <f t="shared" si="24"/>
        <v>62.011025149774063</v>
      </c>
      <c r="F56" s="3">
        <f t="shared" si="25"/>
        <v>7.8747079406016107</v>
      </c>
      <c r="G56" s="3">
        <f t="shared" si="26"/>
        <v>85.269018928133676</v>
      </c>
      <c r="H56" s="3">
        <f t="shared" si="27"/>
        <v>9.2341225315745987</v>
      </c>
      <c r="I56"/>
      <c r="J56" t="s">
        <v>13</v>
      </c>
      <c r="K56" t="s">
        <v>13</v>
      </c>
      <c r="L56" t="s">
        <v>13</v>
      </c>
      <c r="M56" t="s">
        <v>13</v>
      </c>
    </row>
    <row r="57" spans="1:14" s="7" customFormat="1" x14ac:dyDescent="0.25">
      <c r="A57" s="14" t="s">
        <v>34</v>
      </c>
      <c r="B57" s="25">
        <v>40.156939999999999</v>
      </c>
      <c r="C57" s="25">
        <v>40.350929999999998</v>
      </c>
      <c r="D57" s="24">
        <v>19.49213</v>
      </c>
      <c r="E57" s="24">
        <f t="shared" si="24"/>
        <v>148.90776817076079</v>
      </c>
      <c r="F57" s="25">
        <f t="shared" si="25"/>
        <v>12.202777067977634</v>
      </c>
      <c r="G57" s="24">
        <f t="shared" si="26"/>
        <v>209.27793672579185</v>
      </c>
      <c r="H57" s="25">
        <f t="shared" si="27"/>
        <v>14.466441743766566</v>
      </c>
      <c r="I57"/>
      <c r="J57" s="24">
        <f>AVERAGE((B57-$B$11)^2, (C57-$C$11)^2)</f>
        <v>24.585200308850034</v>
      </c>
      <c r="K57" s="25">
        <f t="shared" ref="K57:K60" si="30">SQRT(J57)</f>
        <v>4.9583465297264198</v>
      </c>
      <c r="L57" s="24">
        <f>AVERAGE((B57-$B$11)^2, (C57-$C$11)^2, (D57-$D$11)^2)</f>
        <v>25.480695596866685</v>
      </c>
      <c r="M57" s="25">
        <f t="shared" ref="M57:M60" si="31">SQRT(L57)</f>
        <v>5.0478406865576382</v>
      </c>
    </row>
    <row r="58" spans="1:14" s="7" customFormat="1" x14ac:dyDescent="0.25">
      <c r="A58" s="8" t="s">
        <v>35</v>
      </c>
      <c r="B58" s="17">
        <v>47.100320000000004</v>
      </c>
      <c r="C58" s="17">
        <v>39.726679999999995</v>
      </c>
      <c r="D58" s="17">
        <v>13.173000000000002</v>
      </c>
      <c r="E58" s="11">
        <f t="shared" si="24"/>
        <v>54.142714151231431</v>
      </c>
      <c r="F58" s="17">
        <f t="shared" si="25"/>
        <v>7.3581732890189144</v>
      </c>
      <c r="G58" s="11">
        <f t="shared" si="26"/>
        <v>82.881118440897239</v>
      </c>
      <c r="H58" s="17">
        <f t="shared" si="27"/>
        <v>9.1039067680253201</v>
      </c>
      <c r="J58" s="11">
        <f>AVERAGE((B58-$B$11)^2, (C58-$C$11)^2)</f>
        <v>0.4868257185999918</v>
      </c>
      <c r="K58" s="17">
        <f t="shared" si="30"/>
        <v>0.69772897216612106</v>
      </c>
      <c r="L58" s="11">
        <f>AVERAGE((B58-$B$47)^2, (C58-$C$47)^2, (D58-$D$47)^2)</f>
        <v>0.90855685146665854</v>
      </c>
      <c r="M58" s="17">
        <f t="shared" si="31"/>
        <v>0.95318248592106358</v>
      </c>
    </row>
    <row r="59" spans="1:14" x14ac:dyDescent="0.25">
      <c r="A59" s="9" t="s">
        <v>25</v>
      </c>
      <c r="B59" s="31">
        <v>57.388958391413581</v>
      </c>
      <c r="C59" s="31">
        <v>41.285316696986655</v>
      </c>
      <c r="D59" s="31">
        <v>1.3257249115997642</v>
      </c>
      <c r="J59" s="31">
        <f>AVERAGE((B59-$B$2)^2, (C59-$C$2)^2)</f>
        <v>46.263259871898839</v>
      </c>
      <c r="K59" s="31">
        <f t="shared" si="30"/>
        <v>6.8017100696735699</v>
      </c>
      <c r="L59" s="31">
        <f>AVERAGE((B59-$B$2)^2, (C59-$C$2)^2, (D59-$D$2)^2)</f>
        <v>76.269560355930167</v>
      </c>
      <c r="M59" s="31">
        <f t="shared" si="31"/>
        <v>8.7332445491884734</v>
      </c>
      <c r="N59" t="s">
        <v>36</v>
      </c>
    </row>
    <row r="60" spans="1:14" x14ac:dyDescent="0.25">
      <c r="J60" s="31">
        <f>AVERAGE((B59-$B$11)^2, (C59-$C$11)^2)</f>
        <v>57.361840861241241</v>
      </c>
      <c r="K60" s="31">
        <f t="shared" si="30"/>
        <v>7.5737600213659553</v>
      </c>
      <c r="L60" s="31">
        <f>AVERAGE((B59-$B$11)^2, (C59-$C$11)^2, (D59-$D$11)^2)</f>
        <v>94.091783480547917</v>
      </c>
      <c r="M60" s="31">
        <f t="shared" si="31"/>
        <v>9.7000919315513663</v>
      </c>
      <c r="N60" t="s">
        <v>37</v>
      </c>
    </row>
  </sheetData>
  <mergeCells count="1">
    <mergeCell ref="J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NSUM Estimators Evaluation</vt:lpstr>
      <vt:lpstr>Round 2 - PIMLE</vt:lpstr>
      <vt:lpstr>Round 1</vt:lpstr>
      <vt:lpstr>Round 2 - 24nov</vt:lpstr>
      <vt:lpstr>Round 2 - 4dec &amp; 12dec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Lucía Soria</dc:creator>
  <cp:keywords/>
  <dc:description/>
  <cp:lastModifiedBy>Lucia Soria González</cp:lastModifiedBy>
  <cp:revision/>
  <dcterms:created xsi:type="dcterms:W3CDTF">2015-06-05T18:19:34Z</dcterms:created>
  <dcterms:modified xsi:type="dcterms:W3CDTF">2026-04-06T16:48:57Z</dcterms:modified>
  <cp:category/>
  <cp:contentStatus/>
</cp:coreProperties>
</file>