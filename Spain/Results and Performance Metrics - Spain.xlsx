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cia Soria González\Desktop\excel metricas\"/>
    </mc:Choice>
  </mc:AlternateContent>
  <xr:revisionPtr revIDLastSave="0" documentId="13_ncr:1_{8D81192D-6E14-4211-9072-6AFD48EA94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 tables" sheetId="7" r:id="rId1"/>
    <sheet name="Madrid - PIMLE" sheetId="6" r:id="rId2"/>
    <sheet name="Andalusia - PIMLE" sheetId="4" r:id="rId3"/>
    <sheet name="Valencia - PIMLE" sheetId="5" r:id="rId4"/>
    <sheet name="Madrid - Complete" sheetId="9" r:id="rId5"/>
    <sheet name="Andalusia - Complete" sheetId="10" r:id="rId6"/>
    <sheet name="Valencia - Complete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1" l="1"/>
  <c r="L74" i="11" s="1"/>
  <c r="I74" i="11"/>
  <c r="H74" i="11"/>
  <c r="L73" i="11"/>
  <c r="K73" i="11"/>
  <c r="I73" i="11"/>
  <c r="H73" i="11"/>
  <c r="L72" i="11"/>
  <c r="K72" i="11"/>
  <c r="H72" i="11"/>
  <c r="I72" i="11" s="1"/>
  <c r="L71" i="11"/>
  <c r="K71" i="11"/>
  <c r="H71" i="11"/>
  <c r="I71" i="11" s="1"/>
  <c r="K70" i="11"/>
  <c r="L70" i="11" s="1"/>
  <c r="H70" i="11"/>
  <c r="I70" i="11" s="1"/>
  <c r="K69" i="11"/>
  <c r="L69" i="11" s="1"/>
  <c r="H69" i="11"/>
  <c r="I69" i="11" s="1"/>
  <c r="K68" i="11"/>
  <c r="L68" i="11" s="1"/>
  <c r="H68" i="11"/>
  <c r="I68" i="11" s="1"/>
  <c r="K67" i="11"/>
  <c r="L67" i="11" s="1"/>
  <c r="I67" i="11"/>
  <c r="H67" i="11"/>
  <c r="K66" i="11"/>
  <c r="L66" i="11" s="1"/>
  <c r="I66" i="11"/>
  <c r="H66" i="11"/>
  <c r="L65" i="11"/>
  <c r="K65" i="11"/>
  <c r="I65" i="11"/>
  <c r="H65" i="11"/>
  <c r="L64" i="11"/>
  <c r="K64" i="11"/>
  <c r="H64" i="11"/>
  <c r="I64" i="11" s="1"/>
  <c r="L63" i="11"/>
  <c r="K63" i="11"/>
  <c r="H63" i="11"/>
  <c r="I63" i="11" s="1"/>
  <c r="K62" i="11"/>
  <c r="L62" i="11" s="1"/>
  <c r="H62" i="11"/>
  <c r="I62" i="11" s="1"/>
  <c r="K61" i="11"/>
  <c r="L61" i="11" s="1"/>
  <c r="H61" i="11"/>
  <c r="I61" i="11" s="1"/>
  <c r="K60" i="11"/>
  <c r="L60" i="11" s="1"/>
  <c r="H60" i="11"/>
  <c r="I60" i="11" s="1"/>
  <c r="K59" i="11"/>
  <c r="L59" i="11" s="1"/>
  <c r="I59" i="11"/>
  <c r="H59" i="11"/>
  <c r="K58" i="11"/>
  <c r="L58" i="11" s="1"/>
  <c r="I58" i="11"/>
  <c r="H58" i="11"/>
  <c r="L56" i="11"/>
  <c r="K56" i="11"/>
  <c r="I56" i="11"/>
  <c r="H56" i="11"/>
  <c r="K55" i="11"/>
  <c r="L55" i="11" s="1"/>
  <c r="H55" i="11"/>
  <c r="I55" i="11" s="1"/>
  <c r="L54" i="11"/>
  <c r="K54" i="11"/>
  <c r="I54" i="11"/>
  <c r="H54" i="11"/>
  <c r="K53" i="11"/>
  <c r="L53" i="11" s="1"/>
  <c r="H53" i="11"/>
  <c r="I53" i="11" s="1"/>
  <c r="L52" i="11"/>
  <c r="K52" i="11"/>
  <c r="I52" i="11"/>
  <c r="H52" i="11"/>
  <c r="K51" i="11"/>
  <c r="L51" i="11" s="1"/>
  <c r="H51" i="11"/>
  <c r="I51" i="11" s="1"/>
  <c r="K50" i="11"/>
  <c r="L50" i="11" s="1"/>
  <c r="H50" i="11"/>
  <c r="I50" i="11" s="1"/>
  <c r="K49" i="11"/>
  <c r="L49" i="11" s="1"/>
  <c r="I49" i="11"/>
  <c r="H49" i="11"/>
  <c r="K48" i="11"/>
  <c r="L48" i="11" s="1"/>
  <c r="I48" i="11"/>
  <c r="H48" i="11"/>
  <c r="L47" i="11"/>
  <c r="K47" i="11"/>
  <c r="I47" i="11"/>
  <c r="H47" i="11"/>
  <c r="L46" i="11"/>
  <c r="K46" i="11"/>
  <c r="H46" i="11"/>
  <c r="I46" i="11" s="1"/>
  <c r="L45" i="11"/>
  <c r="K45" i="11"/>
  <c r="H45" i="11"/>
  <c r="I45" i="11" s="1"/>
  <c r="K44" i="11"/>
  <c r="L44" i="11" s="1"/>
  <c r="H44" i="11"/>
  <c r="I44" i="11" s="1"/>
  <c r="K43" i="11"/>
  <c r="L43" i="11" s="1"/>
  <c r="H43" i="11"/>
  <c r="I43" i="11" s="1"/>
  <c r="K42" i="11"/>
  <c r="L42" i="11" s="1"/>
  <c r="H42" i="11"/>
  <c r="I42" i="11" s="1"/>
  <c r="K41" i="11"/>
  <c r="L41" i="11" s="1"/>
  <c r="I41" i="11"/>
  <c r="H41" i="11"/>
  <c r="K40" i="11"/>
  <c r="L40" i="11" s="1"/>
  <c r="I40" i="11"/>
  <c r="H40" i="11"/>
  <c r="L38" i="11"/>
  <c r="K38" i="11"/>
  <c r="I38" i="11"/>
  <c r="H38" i="11"/>
  <c r="K37" i="11"/>
  <c r="L37" i="11" s="1"/>
  <c r="H37" i="11"/>
  <c r="I37" i="11" s="1"/>
  <c r="L36" i="11"/>
  <c r="K36" i="11"/>
  <c r="I36" i="11"/>
  <c r="H36" i="11"/>
  <c r="K35" i="11"/>
  <c r="L35" i="11" s="1"/>
  <c r="H35" i="11"/>
  <c r="I35" i="11" s="1"/>
  <c r="L34" i="11"/>
  <c r="K34" i="11"/>
  <c r="I34" i="11"/>
  <c r="H34" i="11"/>
  <c r="K33" i="11"/>
  <c r="L33" i="11" s="1"/>
  <c r="H33" i="11"/>
  <c r="I33" i="11" s="1"/>
  <c r="K32" i="11"/>
  <c r="L32" i="11" s="1"/>
  <c r="H32" i="11"/>
  <c r="I32" i="11" s="1"/>
  <c r="K31" i="11"/>
  <c r="L31" i="11" s="1"/>
  <c r="I31" i="11"/>
  <c r="H31" i="11"/>
  <c r="K30" i="11"/>
  <c r="L30" i="11" s="1"/>
  <c r="I30" i="11"/>
  <c r="H30" i="11"/>
  <c r="L29" i="11"/>
  <c r="K29" i="11"/>
  <c r="I29" i="11"/>
  <c r="H29" i="11"/>
  <c r="L28" i="11"/>
  <c r="K28" i="11"/>
  <c r="H28" i="11"/>
  <c r="I28" i="11" s="1"/>
  <c r="L27" i="11"/>
  <c r="K27" i="11"/>
  <c r="H27" i="11"/>
  <c r="I27" i="11" s="1"/>
  <c r="K26" i="11"/>
  <c r="L26" i="11" s="1"/>
  <c r="H26" i="11"/>
  <c r="I26" i="11" s="1"/>
  <c r="K25" i="11"/>
  <c r="L25" i="11" s="1"/>
  <c r="H25" i="11"/>
  <c r="I25" i="11" s="1"/>
  <c r="K24" i="11"/>
  <c r="L24" i="11" s="1"/>
  <c r="H24" i="11"/>
  <c r="I24" i="11" s="1"/>
  <c r="K23" i="11"/>
  <c r="L23" i="11" s="1"/>
  <c r="I23" i="11"/>
  <c r="H23" i="11"/>
  <c r="K22" i="11"/>
  <c r="L22" i="11" s="1"/>
  <c r="I22" i="11"/>
  <c r="H22" i="11"/>
  <c r="L20" i="11"/>
  <c r="K20" i="11"/>
  <c r="I20" i="11"/>
  <c r="H20" i="11"/>
  <c r="K19" i="11"/>
  <c r="L19" i="11" s="1"/>
  <c r="H19" i="11"/>
  <c r="I19" i="11" s="1"/>
  <c r="L18" i="11"/>
  <c r="K18" i="11"/>
  <c r="I18" i="11"/>
  <c r="H18" i="11"/>
  <c r="K17" i="11"/>
  <c r="L17" i="11" s="1"/>
  <c r="H17" i="11"/>
  <c r="I17" i="11" s="1"/>
  <c r="L16" i="11"/>
  <c r="K16" i="11"/>
  <c r="I16" i="11"/>
  <c r="H16" i="11"/>
  <c r="K15" i="11"/>
  <c r="L15" i="11" s="1"/>
  <c r="H15" i="11"/>
  <c r="I15" i="11" s="1"/>
  <c r="K14" i="11"/>
  <c r="L14" i="11" s="1"/>
  <c r="H14" i="11"/>
  <c r="I14" i="11" s="1"/>
  <c r="K13" i="11"/>
  <c r="L13" i="11" s="1"/>
  <c r="I13" i="11"/>
  <c r="H13" i="11"/>
  <c r="K12" i="11"/>
  <c r="L12" i="11" s="1"/>
  <c r="I12" i="11"/>
  <c r="H12" i="11"/>
  <c r="L11" i="11"/>
  <c r="K11" i="11"/>
  <c r="I11" i="11"/>
  <c r="H11" i="11"/>
  <c r="L10" i="11"/>
  <c r="K10" i="11"/>
  <c r="H10" i="11"/>
  <c r="I10" i="11" s="1"/>
  <c r="L9" i="11"/>
  <c r="K9" i="11"/>
  <c r="H9" i="11"/>
  <c r="I9" i="11" s="1"/>
  <c r="K8" i="11"/>
  <c r="L8" i="11" s="1"/>
  <c r="H8" i="11"/>
  <c r="I8" i="11" s="1"/>
  <c r="K7" i="11"/>
  <c r="L7" i="11" s="1"/>
  <c r="H7" i="11"/>
  <c r="I7" i="11" s="1"/>
  <c r="K6" i="11"/>
  <c r="L6" i="11" s="1"/>
  <c r="H6" i="11"/>
  <c r="I6" i="11" s="1"/>
  <c r="K5" i="11"/>
  <c r="L5" i="11" s="1"/>
  <c r="I5" i="11"/>
  <c r="H5" i="11"/>
  <c r="K4" i="11"/>
  <c r="L4" i="11" s="1"/>
  <c r="I4" i="11"/>
  <c r="H4" i="11"/>
  <c r="K74" i="10"/>
  <c r="L74" i="10" s="1"/>
  <c r="H74" i="10"/>
  <c r="I74" i="10" s="1"/>
  <c r="L73" i="10"/>
  <c r="K73" i="10"/>
  <c r="H73" i="10"/>
  <c r="I73" i="10" s="1"/>
  <c r="K72" i="10"/>
  <c r="L72" i="10" s="1"/>
  <c r="H72" i="10"/>
  <c r="I72" i="10" s="1"/>
  <c r="L71" i="10"/>
  <c r="K71" i="10"/>
  <c r="H71" i="10"/>
  <c r="I71" i="10" s="1"/>
  <c r="K70" i="10"/>
  <c r="L70" i="10" s="1"/>
  <c r="H70" i="10"/>
  <c r="I70" i="10" s="1"/>
  <c r="K69" i="10"/>
  <c r="L69" i="10" s="1"/>
  <c r="H69" i="10"/>
  <c r="I69" i="10" s="1"/>
  <c r="K68" i="10"/>
  <c r="L68" i="10" s="1"/>
  <c r="H68" i="10"/>
  <c r="I68" i="10" s="1"/>
  <c r="K67" i="10"/>
  <c r="L67" i="10" s="1"/>
  <c r="H67" i="10"/>
  <c r="I67" i="10" s="1"/>
  <c r="K66" i="10"/>
  <c r="L66" i="10" s="1"/>
  <c r="H66" i="10"/>
  <c r="I66" i="10" s="1"/>
  <c r="K65" i="10"/>
  <c r="L65" i="10" s="1"/>
  <c r="H65" i="10"/>
  <c r="I65" i="10" s="1"/>
  <c r="K64" i="10"/>
  <c r="L64" i="10" s="1"/>
  <c r="H64" i="10"/>
  <c r="I64" i="10" s="1"/>
  <c r="K63" i="10"/>
  <c r="L63" i="10" s="1"/>
  <c r="I63" i="10"/>
  <c r="H63" i="10"/>
  <c r="K62" i="10"/>
  <c r="L62" i="10" s="1"/>
  <c r="H62" i="10"/>
  <c r="I62" i="10" s="1"/>
  <c r="K61" i="10"/>
  <c r="L61" i="10" s="1"/>
  <c r="I61" i="10"/>
  <c r="H61" i="10"/>
  <c r="K60" i="10"/>
  <c r="L60" i="10" s="1"/>
  <c r="H60" i="10"/>
  <c r="I60" i="10" s="1"/>
  <c r="K59" i="10"/>
  <c r="L59" i="10" s="1"/>
  <c r="H59" i="10"/>
  <c r="I59" i="10" s="1"/>
  <c r="K58" i="10"/>
  <c r="L58" i="10" s="1"/>
  <c r="H58" i="10"/>
  <c r="I58" i="10" s="1"/>
  <c r="L56" i="10"/>
  <c r="K56" i="10"/>
  <c r="H56" i="10"/>
  <c r="I56" i="10" s="1"/>
  <c r="K55" i="10"/>
  <c r="L55" i="10" s="1"/>
  <c r="H55" i="10"/>
  <c r="I55" i="10" s="1"/>
  <c r="L54" i="10"/>
  <c r="K54" i="10"/>
  <c r="H54" i="10"/>
  <c r="I54" i="10" s="1"/>
  <c r="K53" i="10"/>
  <c r="L53" i="10" s="1"/>
  <c r="H53" i="10"/>
  <c r="I53" i="10" s="1"/>
  <c r="K52" i="10"/>
  <c r="L52" i="10" s="1"/>
  <c r="H52" i="10"/>
  <c r="I52" i="10" s="1"/>
  <c r="K51" i="10"/>
  <c r="L51" i="10" s="1"/>
  <c r="I51" i="10"/>
  <c r="H51" i="10"/>
  <c r="K50" i="10"/>
  <c r="L50" i="10" s="1"/>
  <c r="H50" i="10"/>
  <c r="I50" i="10" s="1"/>
  <c r="K49" i="10"/>
  <c r="L49" i="10" s="1"/>
  <c r="H49" i="10"/>
  <c r="I49" i="10" s="1"/>
  <c r="K48" i="10"/>
  <c r="L48" i="10" s="1"/>
  <c r="H48" i="10"/>
  <c r="I48" i="10" s="1"/>
  <c r="L47" i="10"/>
  <c r="K47" i="10"/>
  <c r="H47" i="10"/>
  <c r="I47" i="10" s="1"/>
  <c r="K46" i="10"/>
  <c r="L46" i="10" s="1"/>
  <c r="H46" i="10"/>
  <c r="I46" i="10" s="1"/>
  <c r="L45" i="10"/>
  <c r="K45" i="10"/>
  <c r="H45" i="10"/>
  <c r="I45" i="10" s="1"/>
  <c r="K44" i="10"/>
  <c r="L44" i="10" s="1"/>
  <c r="H44" i="10"/>
  <c r="I44" i="10" s="1"/>
  <c r="K43" i="10"/>
  <c r="L43" i="10" s="1"/>
  <c r="H43" i="10"/>
  <c r="I43" i="10" s="1"/>
  <c r="K42" i="10"/>
  <c r="L42" i="10" s="1"/>
  <c r="H42" i="10"/>
  <c r="I42" i="10" s="1"/>
  <c r="K41" i="10"/>
  <c r="L41" i="10" s="1"/>
  <c r="H41" i="10"/>
  <c r="I41" i="10" s="1"/>
  <c r="K40" i="10"/>
  <c r="L40" i="10" s="1"/>
  <c r="H40" i="10"/>
  <c r="I40" i="10" s="1"/>
  <c r="K38" i="10"/>
  <c r="L38" i="10" s="1"/>
  <c r="H38" i="10"/>
  <c r="I38" i="10" s="1"/>
  <c r="K37" i="10"/>
  <c r="L37" i="10" s="1"/>
  <c r="I37" i="10"/>
  <c r="H37" i="10"/>
  <c r="K36" i="10"/>
  <c r="L36" i="10" s="1"/>
  <c r="H36" i="10"/>
  <c r="I36" i="10" s="1"/>
  <c r="K35" i="10"/>
  <c r="L35" i="10" s="1"/>
  <c r="I35" i="10"/>
  <c r="H35" i="10"/>
  <c r="L34" i="10"/>
  <c r="K34" i="10"/>
  <c r="H34" i="10"/>
  <c r="I34" i="10" s="1"/>
  <c r="K33" i="10"/>
  <c r="L33" i="10" s="1"/>
  <c r="H33" i="10"/>
  <c r="I33" i="10" s="1"/>
  <c r="K32" i="10"/>
  <c r="L32" i="10" s="1"/>
  <c r="H32" i="10"/>
  <c r="I32" i="10" s="1"/>
  <c r="K31" i="10"/>
  <c r="L31" i="10" s="1"/>
  <c r="H31" i="10"/>
  <c r="I31" i="10" s="1"/>
  <c r="K30" i="10"/>
  <c r="L30" i="10" s="1"/>
  <c r="H30" i="10"/>
  <c r="I30" i="10" s="1"/>
  <c r="K29" i="10"/>
  <c r="L29" i="10" s="1"/>
  <c r="H29" i="10"/>
  <c r="I29" i="10" s="1"/>
  <c r="K28" i="10"/>
  <c r="L28" i="10" s="1"/>
  <c r="H28" i="10"/>
  <c r="I28" i="10" s="1"/>
  <c r="K27" i="10"/>
  <c r="L27" i="10" s="1"/>
  <c r="I27" i="10"/>
  <c r="H27" i="10"/>
  <c r="K26" i="10"/>
  <c r="L26" i="10" s="1"/>
  <c r="H26" i="10"/>
  <c r="I26" i="10" s="1"/>
  <c r="K25" i="10"/>
  <c r="L25" i="10" s="1"/>
  <c r="I25" i="10"/>
  <c r="H25" i="10"/>
  <c r="K24" i="10"/>
  <c r="L24" i="10" s="1"/>
  <c r="H24" i="10"/>
  <c r="I24" i="10" s="1"/>
  <c r="K23" i="10"/>
  <c r="L23" i="10" s="1"/>
  <c r="H23" i="10"/>
  <c r="I23" i="10" s="1"/>
  <c r="K22" i="10"/>
  <c r="L22" i="10" s="1"/>
  <c r="H22" i="10"/>
  <c r="I22" i="10" s="1"/>
  <c r="L20" i="10"/>
  <c r="K20" i="10"/>
  <c r="H20" i="10"/>
  <c r="I20" i="10" s="1"/>
  <c r="K19" i="10"/>
  <c r="L19" i="10" s="1"/>
  <c r="H19" i="10"/>
  <c r="I19" i="10" s="1"/>
  <c r="L18" i="10"/>
  <c r="K18" i="10"/>
  <c r="H18" i="10"/>
  <c r="I18" i="10" s="1"/>
  <c r="K17" i="10"/>
  <c r="L17" i="10" s="1"/>
  <c r="H17" i="10"/>
  <c r="I17" i="10" s="1"/>
  <c r="K16" i="10"/>
  <c r="L16" i="10" s="1"/>
  <c r="H16" i="10"/>
  <c r="I16" i="10" s="1"/>
  <c r="K15" i="10"/>
  <c r="L15" i="10" s="1"/>
  <c r="I15" i="10"/>
  <c r="H15" i="10"/>
  <c r="K14" i="10"/>
  <c r="L14" i="10" s="1"/>
  <c r="H14" i="10"/>
  <c r="I14" i="10" s="1"/>
  <c r="K13" i="10"/>
  <c r="L13" i="10" s="1"/>
  <c r="H13" i="10"/>
  <c r="I13" i="10" s="1"/>
  <c r="K12" i="10"/>
  <c r="L12" i="10" s="1"/>
  <c r="H12" i="10"/>
  <c r="I12" i="10" s="1"/>
  <c r="L11" i="10"/>
  <c r="K11" i="10"/>
  <c r="H11" i="10"/>
  <c r="I11" i="10" s="1"/>
  <c r="K10" i="10"/>
  <c r="L10" i="10" s="1"/>
  <c r="H10" i="10"/>
  <c r="I10" i="10" s="1"/>
  <c r="L9" i="10"/>
  <c r="K9" i="10"/>
  <c r="I9" i="10"/>
  <c r="H9" i="10"/>
  <c r="K8" i="10"/>
  <c r="L8" i="10" s="1"/>
  <c r="H8" i="10"/>
  <c r="I8" i="10" s="1"/>
  <c r="K7" i="10"/>
  <c r="L7" i="10" s="1"/>
  <c r="H7" i="10"/>
  <c r="I7" i="10" s="1"/>
  <c r="K6" i="10"/>
  <c r="L6" i="10" s="1"/>
  <c r="H6" i="10"/>
  <c r="I6" i="10" s="1"/>
  <c r="K5" i="10"/>
  <c r="L5" i="10" s="1"/>
  <c r="H5" i="10"/>
  <c r="I5" i="10" s="1"/>
  <c r="K4" i="10"/>
  <c r="L4" i="10" s="1"/>
  <c r="H4" i="10"/>
  <c r="I4" i="10" s="1"/>
  <c r="K82" i="9"/>
  <c r="L82" i="9" s="1"/>
  <c r="I82" i="9"/>
  <c r="H82" i="9"/>
  <c r="L81" i="9"/>
  <c r="K81" i="9"/>
  <c r="H81" i="9"/>
  <c r="I81" i="9" s="1"/>
  <c r="K80" i="9"/>
  <c r="L80" i="9" s="1"/>
  <c r="I80" i="9"/>
  <c r="H80" i="9"/>
  <c r="L79" i="9"/>
  <c r="K79" i="9"/>
  <c r="H79" i="9"/>
  <c r="I79" i="9" s="1"/>
  <c r="K78" i="9"/>
  <c r="L78" i="9" s="1"/>
  <c r="I78" i="9"/>
  <c r="H78" i="9"/>
  <c r="L77" i="9"/>
  <c r="K77" i="9"/>
  <c r="H77" i="9"/>
  <c r="I77" i="9" s="1"/>
  <c r="K76" i="9"/>
  <c r="L76" i="9" s="1"/>
  <c r="I76" i="9"/>
  <c r="H76" i="9"/>
  <c r="L75" i="9"/>
  <c r="K75" i="9"/>
  <c r="H75" i="9"/>
  <c r="I75" i="9" s="1"/>
  <c r="K74" i="9"/>
  <c r="L74" i="9" s="1"/>
  <c r="I74" i="9"/>
  <c r="H74" i="9"/>
  <c r="L73" i="9"/>
  <c r="K73" i="9"/>
  <c r="H73" i="9"/>
  <c r="I73" i="9" s="1"/>
  <c r="K72" i="9"/>
  <c r="L72" i="9" s="1"/>
  <c r="I72" i="9"/>
  <c r="H72" i="9"/>
  <c r="L71" i="9"/>
  <c r="K71" i="9"/>
  <c r="H71" i="9"/>
  <c r="I71" i="9" s="1"/>
  <c r="K70" i="9"/>
  <c r="L70" i="9" s="1"/>
  <c r="I70" i="9"/>
  <c r="H70" i="9"/>
  <c r="L69" i="9"/>
  <c r="K69" i="9"/>
  <c r="H69" i="9"/>
  <c r="I69" i="9" s="1"/>
  <c r="K68" i="9"/>
  <c r="L68" i="9" s="1"/>
  <c r="I68" i="9"/>
  <c r="H68" i="9"/>
  <c r="L67" i="9"/>
  <c r="K67" i="9"/>
  <c r="H67" i="9"/>
  <c r="I67" i="9" s="1"/>
  <c r="K66" i="9"/>
  <c r="L66" i="9" s="1"/>
  <c r="I66" i="9"/>
  <c r="H66" i="9"/>
  <c r="L65" i="9"/>
  <c r="K65" i="9"/>
  <c r="H65" i="9"/>
  <c r="I65" i="9" s="1"/>
  <c r="K64" i="9"/>
  <c r="L64" i="9" s="1"/>
  <c r="I64" i="9"/>
  <c r="H64" i="9"/>
  <c r="L62" i="9"/>
  <c r="K62" i="9"/>
  <c r="H62" i="9"/>
  <c r="I62" i="9" s="1"/>
  <c r="K61" i="9"/>
  <c r="L61" i="9" s="1"/>
  <c r="I61" i="9"/>
  <c r="H61" i="9"/>
  <c r="L60" i="9"/>
  <c r="K60" i="9"/>
  <c r="H60" i="9"/>
  <c r="I60" i="9" s="1"/>
  <c r="K59" i="9"/>
  <c r="L59" i="9" s="1"/>
  <c r="I59" i="9"/>
  <c r="H59" i="9"/>
  <c r="L58" i="9"/>
  <c r="K58" i="9"/>
  <c r="H58" i="9"/>
  <c r="I58" i="9" s="1"/>
  <c r="K57" i="9"/>
  <c r="L57" i="9" s="1"/>
  <c r="I57" i="9"/>
  <c r="H57" i="9"/>
  <c r="L56" i="9"/>
  <c r="K56" i="9"/>
  <c r="H56" i="9"/>
  <c r="I56" i="9" s="1"/>
  <c r="K55" i="9"/>
  <c r="L55" i="9" s="1"/>
  <c r="I55" i="9"/>
  <c r="H55" i="9"/>
  <c r="L54" i="9"/>
  <c r="K54" i="9"/>
  <c r="H54" i="9"/>
  <c r="I54" i="9" s="1"/>
  <c r="K53" i="9"/>
  <c r="L53" i="9" s="1"/>
  <c r="I53" i="9"/>
  <c r="H53" i="9"/>
  <c r="L52" i="9"/>
  <c r="K52" i="9"/>
  <c r="H52" i="9"/>
  <c r="I52" i="9" s="1"/>
  <c r="K51" i="9"/>
  <c r="L51" i="9" s="1"/>
  <c r="I51" i="9"/>
  <c r="H51" i="9"/>
  <c r="L50" i="9"/>
  <c r="K50" i="9"/>
  <c r="H50" i="9"/>
  <c r="I50" i="9" s="1"/>
  <c r="K49" i="9"/>
  <c r="L49" i="9" s="1"/>
  <c r="I49" i="9"/>
  <c r="H49" i="9"/>
  <c r="L48" i="9"/>
  <c r="K48" i="9"/>
  <c r="H48" i="9"/>
  <c r="I48" i="9" s="1"/>
  <c r="K47" i="9"/>
  <c r="L47" i="9" s="1"/>
  <c r="I47" i="9"/>
  <c r="H47" i="9"/>
  <c r="L46" i="9"/>
  <c r="K46" i="9"/>
  <c r="H46" i="9"/>
  <c r="I46" i="9" s="1"/>
  <c r="K45" i="9"/>
  <c r="L45" i="9" s="1"/>
  <c r="I45" i="9"/>
  <c r="H45" i="9"/>
  <c r="L44" i="9"/>
  <c r="K44" i="9"/>
  <c r="H44" i="9"/>
  <c r="I44" i="9" s="1"/>
  <c r="K42" i="9"/>
  <c r="L42" i="9" s="1"/>
  <c r="I42" i="9"/>
  <c r="H42" i="9"/>
  <c r="L41" i="9"/>
  <c r="K41" i="9"/>
  <c r="H41" i="9"/>
  <c r="I41" i="9" s="1"/>
  <c r="K40" i="9"/>
  <c r="L40" i="9" s="1"/>
  <c r="I40" i="9"/>
  <c r="H40" i="9"/>
  <c r="K39" i="9"/>
  <c r="L39" i="9" s="1"/>
  <c r="H39" i="9"/>
  <c r="I39" i="9" s="1"/>
  <c r="K38" i="9"/>
  <c r="L38" i="9" s="1"/>
  <c r="I38" i="9"/>
  <c r="H38" i="9"/>
  <c r="K37" i="9"/>
  <c r="L37" i="9" s="1"/>
  <c r="H37" i="9"/>
  <c r="I37" i="9" s="1"/>
  <c r="K36" i="9"/>
  <c r="L36" i="9" s="1"/>
  <c r="I36" i="9"/>
  <c r="H36" i="9"/>
  <c r="K35" i="9"/>
  <c r="L35" i="9" s="1"/>
  <c r="H35" i="9"/>
  <c r="I35" i="9" s="1"/>
  <c r="K34" i="9"/>
  <c r="L34" i="9" s="1"/>
  <c r="I34" i="9"/>
  <c r="H34" i="9"/>
  <c r="K33" i="9"/>
  <c r="L33" i="9" s="1"/>
  <c r="H33" i="9"/>
  <c r="I33" i="9" s="1"/>
  <c r="K32" i="9"/>
  <c r="L32" i="9" s="1"/>
  <c r="I32" i="9"/>
  <c r="H32" i="9"/>
  <c r="K31" i="9"/>
  <c r="L31" i="9" s="1"/>
  <c r="H31" i="9"/>
  <c r="I31" i="9" s="1"/>
  <c r="K30" i="9"/>
  <c r="L30" i="9" s="1"/>
  <c r="I30" i="9"/>
  <c r="H30" i="9"/>
  <c r="K29" i="9"/>
  <c r="L29" i="9" s="1"/>
  <c r="H29" i="9"/>
  <c r="I29" i="9" s="1"/>
  <c r="K28" i="9"/>
  <c r="L28" i="9" s="1"/>
  <c r="I28" i="9"/>
  <c r="H28" i="9"/>
  <c r="K27" i="9"/>
  <c r="L27" i="9" s="1"/>
  <c r="H27" i="9"/>
  <c r="I27" i="9" s="1"/>
  <c r="K26" i="9"/>
  <c r="L26" i="9" s="1"/>
  <c r="I26" i="9"/>
  <c r="H26" i="9"/>
  <c r="K25" i="9"/>
  <c r="L25" i="9" s="1"/>
  <c r="H25" i="9"/>
  <c r="I25" i="9" s="1"/>
  <c r="K24" i="9"/>
  <c r="L24" i="9" s="1"/>
  <c r="I24" i="9"/>
  <c r="H24" i="9"/>
  <c r="K22" i="9"/>
  <c r="L22" i="9" s="1"/>
  <c r="H22" i="9"/>
  <c r="I22" i="9" s="1"/>
  <c r="K21" i="9"/>
  <c r="L21" i="9" s="1"/>
  <c r="I21" i="9"/>
  <c r="H21" i="9"/>
  <c r="K20" i="9"/>
  <c r="L20" i="9" s="1"/>
  <c r="H20" i="9"/>
  <c r="I20" i="9" s="1"/>
  <c r="K19" i="9"/>
  <c r="L19" i="9" s="1"/>
  <c r="I19" i="9"/>
  <c r="H19" i="9"/>
  <c r="K18" i="9"/>
  <c r="L18" i="9" s="1"/>
  <c r="H18" i="9"/>
  <c r="I18" i="9" s="1"/>
  <c r="K17" i="9"/>
  <c r="L17" i="9" s="1"/>
  <c r="I17" i="9"/>
  <c r="H17" i="9"/>
  <c r="K16" i="9"/>
  <c r="L16" i="9" s="1"/>
  <c r="H16" i="9"/>
  <c r="I16" i="9" s="1"/>
  <c r="K15" i="9"/>
  <c r="L15" i="9" s="1"/>
  <c r="I15" i="9"/>
  <c r="H15" i="9"/>
  <c r="K14" i="9"/>
  <c r="L14" i="9" s="1"/>
  <c r="H14" i="9"/>
  <c r="I14" i="9" s="1"/>
  <c r="K13" i="9"/>
  <c r="L13" i="9" s="1"/>
  <c r="I13" i="9"/>
  <c r="H13" i="9"/>
  <c r="K12" i="9"/>
  <c r="L12" i="9" s="1"/>
  <c r="H12" i="9"/>
  <c r="I12" i="9" s="1"/>
  <c r="K11" i="9"/>
  <c r="L11" i="9" s="1"/>
  <c r="I11" i="9"/>
  <c r="H11" i="9"/>
  <c r="K10" i="9"/>
  <c r="L10" i="9" s="1"/>
  <c r="H10" i="9"/>
  <c r="I10" i="9" s="1"/>
  <c r="K9" i="9"/>
  <c r="L9" i="9" s="1"/>
  <c r="I9" i="9"/>
  <c r="H9" i="9"/>
  <c r="K8" i="9"/>
  <c r="L8" i="9" s="1"/>
  <c r="H8" i="9"/>
  <c r="I8" i="9" s="1"/>
  <c r="K7" i="9"/>
  <c r="L7" i="9" s="1"/>
  <c r="I7" i="9"/>
  <c r="H7" i="9"/>
  <c r="K6" i="9"/>
  <c r="L6" i="9" s="1"/>
  <c r="H6" i="9"/>
  <c r="I6" i="9" s="1"/>
  <c r="K5" i="9"/>
  <c r="L5" i="9" s="1"/>
  <c r="I5" i="9"/>
  <c r="H5" i="9"/>
  <c r="L4" i="9"/>
  <c r="K4" i="9"/>
  <c r="H4" i="9"/>
  <c r="I4" i="9" s="1"/>
  <c r="F27" i="6" l="1"/>
  <c r="G27" i="6" s="1"/>
  <c r="F28" i="6"/>
  <c r="G28" i="6" s="1"/>
  <c r="F29" i="6"/>
  <c r="F30" i="6"/>
  <c r="F31" i="6"/>
  <c r="G31" i="6" s="1"/>
  <c r="F32" i="6"/>
  <c r="G32" i="6" s="1"/>
  <c r="F33" i="6"/>
  <c r="F34" i="6"/>
  <c r="G34" i="6" s="1"/>
  <c r="F35" i="6"/>
  <c r="G35" i="6" s="1"/>
  <c r="F36" i="6"/>
  <c r="G36" i="6" s="1"/>
  <c r="F37" i="6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30" i="6"/>
  <c r="G45" i="6"/>
  <c r="G29" i="6"/>
  <c r="G37" i="6"/>
  <c r="F26" i="6"/>
  <c r="G26" i="6" s="1"/>
  <c r="G33" i="6"/>
  <c r="F23" i="4"/>
  <c r="G23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4" i="5"/>
  <c r="F25" i="5"/>
  <c r="G25" i="5" s="1"/>
  <c r="F26" i="5"/>
  <c r="G26" i="5" s="1"/>
  <c r="F27" i="5"/>
  <c r="G27" i="5" s="1"/>
  <c r="F28" i="5"/>
  <c r="G28" i="5" s="1"/>
  <c r="F29" i="5"/>
  <c r="G29" i="5" s="1"/>
  <c r="F30" i="5"/>
  <c r="F31" i="5"/>
  <c r="G31" i="5" s="1"/>
  <c r="F32" i="5"/>
  <c r="F33" i="5"/>
  <c r="G33" i="5" s="1"/>
  <c r="F34" i="5"/>
  <c r="G34" i="5" s="1"/>
  <c r="F35" i="5"/>
  <c r="G35" i="5" s="1"/>
  <c r="F36" i="5"/>
  <c r="G36" i="5" s="1"/>
  <c r="F37" i="5"/>
  <c r="G37" i="5" s="1"/>
  <c r="F38" i="5"/>
  <c r="F39" i="5"/>
  <c r="G39" i="5" s="1"/>
  <c r="F40" i="5"/>
  <c r="G40" i="5" s="1"/>
  <c r="G30" i="5"/>
  <c r="G38" i="5"/>
  <c r="F23" i="5"/>
  <c r="G23" i="5" s="1"/>
  <c r="G32" i="5"/>
  <c r="G24" i="5"/>
  <c r="G11" i="5"/>
  <c r="H11" i="5" s="1"/>
  <c r="I11" i="5"/>
  <c r="J11" i="5" s="1"/>
  <c r="G30" i="7" s="1"/>
  <c r="K11" i="5"/>
  <c r="L11" i="5" s="1"/>
  <c r="O30" i="7" s="1"/>
  <c r="G12" i="5"/>
  <c r="H12" i="5"/>
  <c r="I12" i="5"/>
  <c r="J12" i="5" s="1"/>
  <c r="K12" i="5"/>
  <c r="L12" i="5" s="1"/>
  <c r="G13" i="5"/>
  <c r="H13" i="5" s="1"/>
  <c r="I13" i="5"/>
  <c r="J13" i="5" s="1"/>
  <c r="K13" i="5"/>
  <c r="L13" i="5"/>
  <c r="K13" i="4"/>
  <c r="L13" i="4" s="1"/>
  <c r="M31" i="7" s="1"/>
  <c r="G13" i="4"/>
  <c r="H13" i="4" s="1"/>
  <c r="I13" i="4"/>
  <c r="J13" i="4" s="1"/>
  <c r="E31" i="7" s="1"/>
  <c r="G14" i="4"/>
  <c r="H14" i="4" s="1"/>
  <c r="I14" i="4"/>
  <c r="J14" i="4" s="1"/>
  <c r="K14" i="4"/>
  <c r="L14" i="4" s="1"/>
  <c r="G9" i="4"/>
  <c r="H9" i="4" s="1"/>
  <c r="I9" i="4"/>
  <c r="J9" i="4" s="1"/>
  <c r="K9" i="4"/>
  <c r="L9" i="4" s="1"/>
  <c r="G21" i="6"/>
  <c r="H21" i="6" s="1"/>
  <c r="K21" i="6"/>
  <c r="L21" i="6" s="1"/>
  <c r="I21" i="6"/>
  <c r="J21" i="6" s="1"/>
  <c r="C34" i="7" s="1"/>
  <c r="E19" i="7" l="1"/>
  <c r="K20" i="4"/>
  <c r="L20" i="4" s="1"/>
  <c r="K20" i="5"/>
  <c r="L20" i="5" s="1"/>
  <c r="K19" i="5"/>
  <c r="L19" i="5" s="1"/>
  <c r="K18" i="5"/>
  <c r="L18" i="5" s="1"/>
  <c r="K17" i="5"/>
  <c r="L17" i="5" s="1"/>
  <c r="L45" i="7" s="1"/>
  <c r="K16" i="5"/>
  <c r="L16" i="5" s="1"/>
  <c r="K15" i="5"/>
  <c r="L15" i="5" s="1"/>
  <c r="K14" i="5"/>
  <c r="L14" i="5" s="1"/>
  <c r="O31" i="7" s="1"/>
  <c r="K10" i="5"/>
  <c r="L10" i="5" s="1"/>
  <c r="K9" i="5"/>
  <c r="L9" i="5" s="1"/>
  <c r="K8" i="5"/>
  <c r="L8" i="5" s="1"/>
  <c r="O19" i="7" s="1"/>
  <c r="K7" i="5"/>
  <c r="L7" i="5" s="1"/>
  <c r="K6" i="5"/>
  <c r="L6" i="5" s="1"/>
  <c r="O18" i="7" s="1"/>
  <c r="K5" i="5"/>
  <c r="L5" i="5" s="1"/>
  <c r="K4" i="5"/>
  <c r="L4" i="5" s="1"/>
  <c r="K3" i="5"/>
  <c r="L3" i="5" s="1"/>
  <c r="K3" i="4"/>
  <c r="L3" i="4" s="1"/>
  <c r="K19" i="4"/>
  <c r="L19" i="4" s="1"/>
  <c r="K18" i="4"/>
  <c r="L18" i="4" s="1"/>
  <c r="K17" i="4"/>
  <c r="L17" i="4" s="1"/>
  <c r="K16" i="4"/>
  <c r="L16" i="4" s="1"/>
  <c r="K15" i="4"/>
  <c r="L15" i="4" s="1"/>
  <c r="K12" i="4"/>
  <c r="L12" i="4" s="1"/>
  <c r="K11" i="4"/>
  <c r="L11" i="4" s="1"/>
  <c r="K10" i="4"/>
  <c r="L10" i="4" s="1"/>
  <c r="M32" i="7" s="1"/>
  <c r="K8" i="4"/>
  <c r="L8" i="4" s="1"/>
  <c r="M19" i="7" s="1"/>
  <c r="K7" i="4"/>
  <c r="L7" i="4" s="1"/>
  <c r="K6" i="4"/>
  <c r="L6" i="4" s="1"/>
  <c r="K5" i="4"/>
  <c r="L5" i="4" s="1"/>
  <c r="K4" i="4"/>
  <c r="L4" i="4" s="1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G32" i="7" s="1"/>
  <c r="I10" i="5"/>
  <c r="J10" i="5" s="1"/>
  <c r="I14" i="5"/>
  <c r="J14" i="5" s="1"/>
  <c r="G31" i="7" s="1"/>
  <c r="I15" i="5"/>
  <c r="J15" i="5" s="1"/>
  <c r="I16" i="5"/>
  <c r="J16" i="5" s="1"/>
  <c r="I17" i="5"/>
  <c r="J17" i="5" s="1"/>
  <c r="D45" i="7" s="1"/>
  <c r="I18" i="5"/>
  <c r="J18" i="5" s="1"/>
  <c r="I19" i="5"/>
  <c r="J19" i="5" s="1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3" i="6"/>
  <c r="H3" i="6" s="1"/>
  <c r="K3" i="6"/>
  <c r="K4" i="6"/>
  <c r="L4" i="6" s="1"/>
  <c r="K20" i="7" s="1"/>
  <c r="K5" i="6"/>
  <c r="L5" i="6" s="1"/>
  <c r="K6" i="6"/>
  <c r="L6" i="6" s="1"/>
  <c r="K7" i="6"/>
  <c r="L7" i="6" s="1"/>
  <c r="J42" i="7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 s="1"/>
  <c r="K19" i="7" s="1"/>
  <c r="K15" i="6"/>
  <c r="L15" i="6" s="1"/>
  <c r="J35" i="7" s="1"/>
  <c r="K16" i="6"/>
  <c r="L16" i="6" s="1"/>
  <c r="K17" i="6"/>
  <c r="L17" i="6" s="1"/>
  <c r="K18" i="6"/>
  <c r="L18" i="6" s="1"/>
  <c r="K19" i="6"/>
  <c r="L19" i="6" s="1"/>
  <c r="K20" i="6"/>
  <c r="L20" i="6" s="1"/>
  <c r="K23" i="7" s="1"/>
  <c r="K22" i="6"/>
  <c r="L22" i="6" s="1"/>
  <c r="L3" i="6"/>
  <c r="J20" i="7" s="1"/>
  <c r="I3" i="6"/>
  <c r="J3" i="6" s="1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C22" i="7" s="1"/>
  <c r="I19" i="6"/>
  <c r="J19" i="6" s="1"/>
  <c r="I20" i="6"/>
  <c r="J20" i="6" s="1"/>
  <c r="G2" i="6"/>
  <c r="H2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I4" i="4"/>
  <c r="J4" i="4" s="1"/>
  <c r="I5" i="4"/>
  <c r="J5" i="4" s="1"/>
  <c r="I6" i="4"/>
  <c r="J6" i="4" s="1"/>
  <c r="I7" i="4"/>
  <c r="J7" i="4" s="1"/>
  <c r="I8" i="4"/>
  <c r="J8" i="4" s="1"/>
  <c r="I10" i="4"/>
  <c r="J10" i="4" s="1"/>
  <c r="E32" i="7" s="1"/>
  <c r="I11" i="4"/>
  <c r="J11" i="4" s="1"/>
  <c r="I12" i="4"/>
  <c r="J12" i="4" s="1"/>
  <c r="I15" i="4"/>
  <c r="J15" i="4" s="1"/>
  <c r="I16" i="4"/>
  <c r="J16" i="4" s="1"/>
  <c r="I17" i="4"/>
  <c r="J17" i="4" s="1"/>
  <c r="C45" i="7" s="1"/>
  <c r="I18" i="4"/>
  <c r="J18" i="4" s="1"/>
  <c r="I19" i="4"/>
  <c r="J19" i="4" s="1"/>
  <c r="I3" i="4"/>
  <c r="J3" i="4" s="1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10" i="4"/>
  <c r="H10" i="4" s="1"/>
  <c r="G11" i="4"/>
  <c r="H11" i="4" s="1"/>
  <c r="G12" i="4"/>
  <c r="H12" i="4" s="1"/>
  <c r="G15" i="4"/>
  <c r="H15" i="4" s="1"/>
  <c r="G16" i="4"/>
  <c r="H16" i="4" s="1"/>
  <c r="G17" i="4"/>
  <c r="H17" i="4" s="1"/>
  <c r="G18" i="4"/>
  <c r="H18" i="4" s="1"/>
  <c r="G19" i="4"/>
  <c r="H19" i="4" s="1"/>
  <c r="M30" i="7" l="1"/>
  <c r="L18" i="7"/>
  <c r="K41" i="7"/>
  <c r="L19" i="7"/>
  <c r="K42" i="7"/>
  <c r="M35" i="7"/>
  <c r="C41" i="7"/>
  <c r="L32" i="7"/>
  <c r="K43" i="7"/>
  <c r="D20" i="7"/>
  <c r="C43" i="7"/>
  <c r="D19" i="7"/>
  <c r="C42" i="7"/>
  <c r="J45" i="7"/>
  <c r="J22" i="7"/>
  <c r="J32" i="7"/>
  <c r="K18" i="7"/>
  <c r="B18" i="7"/>
  <c r="B20" i="7"/>
  <c r="B45" i="7"/>
  <c r="J19" i="7"/>
  <c r="J41" i="7"/>
  <c r="J23" i="7"/>
  <c r="J31" i="7"/>
  <c r="B19" i="7"/>
  <c r="B42" i="7"/>
  <c r="K35" i="7"/>
  <c r="J18" i="7"/>
  <c r="C19" i="7"/>
  <c r="J34" i="7"/>
  <c r="K32" i="7"/>
  <c r="F18" i="7"/>
  <c r="D41" i="7"/>
  <c r="L41" i="7"/>
  <c r="G19" i="7"/>
  <c r="L42" i="7"/>
  <c r="F19" i="7"/>
  <c r="D42" i="7"/>
  <c r="O20" i="7"/>
  <c r="O35" i="7"/>
  <c r="O32" i="7"/>
  <c r="N30" i="7"/>
  <c r="O23" i="7"/>
  <c r="L43" i="7"/>
  <c r="N20" i="7"/>
  <c r="N31" i="7"/>
  <c r="N32" i="7"/>
  <c r="D46" i="7"/>
  <c r="L46" i="7"/>
  <c r="N23" i="7"/>
  <c r="O22" i="7"/>
  <c r="N35" i="7"/>
  <c r="D43" i="7"/>
  <c r="N18" i="7"/>
  <c r="N34" i="7"/>
  <c r="N19" i="7"/>
  <c r="M20" i="7"/>
  <c r="M23" i="7"/>
  <c r="M18" i="7"/>
  <c r="L30" i="7"/>
  <c r="K45" i="7"/>
  <c r="M22" i="7"/>
  <c r="L34" i="7"/>
  <c r="L23" i="7"/>
  <c r="L31" i="7"/>
  <c r="K46" i="7"/>
  <c r="L35" i="7"/>
  <c r="C46" i="7"/>
  <c r="L20" i="7"/>
  <c r="B41" i="7"/>
  <c r="K22" i="7"/>
  <c r="K30" i="7"/>
  <c r="B46" i="7"/>
  <c r="B43" i="7"/>
  <c r="J46" i="7"/>
  <c r="K31" i="7"/>
  <c r="J43" i="7"/>
  <c r="J30" i="7"/>
  <c r="G35" i="7"/>
  <c r="F35" i="7"/>
  <c r="F34" i="7"/>
  <c r="F32" i="7"/>
  <c r="F31" i="7"/>
  <c r="F30" i="7"/>
  <c r="D34" i="7"/>
  <c r="E35" i="7"/>
  <c r="D35" i="7"/>
  <c r="D32" i="7"/>
  <c r="D31" i="7"/>
  <c r="E30" i="7"/>
  <c r="D30" i="7"/>
  <c r="B30" i="7"/>
  <c r="C35" i="7"/>
  <c r="B35" i="7"/>
  <c r="B34" i="7"/>
  <c r="C32" i="7"/>
  <c r="C31" i="7"/>
  <c r="B31" i="7"/>
  <c r="B32" i="7"/>
  <c r="C30" i="7"/>
  <c r="F23" i="7"/>
  <c r="G23" i="7"/>
  <c r="G22" i="7"/>
  <c r="G20" i="7"/>
  <c r="F20" i="7"/>
  <c r="G18" i="7"/>
  <c r="E23" i="7"/>
  <c r="D23" i="7"/>
  <c r="E22" i="7"/>
  <c r="E20" i="7"/>
  <c r="E18" i="7"/>
  <c r="D18" i="7"/>
  <c r="C23" i="7"/>
  <c r="B23" i="7"/>
  <c r="B22" i="7"/>
  <c r="C20" i="7"/>
  <c r="C18" i="7"/>
  <c r="G9" i="7" l="1"/>
  <c r="F9" i="7"/>
  <c r="F8" i="7"/>
  <c r="G6" i="7"/>
  <c r="F6" i="7"/>
  <c r="G5" i="7"/>
  <c r="F5" i="7"/>
  <c r="G4" i="7"/>
  <c r="F4" i="7"/>
  <c r="B9" i="7"/>
  <c r="C9" i="7"/>
  <c r="C8" i="7"/>
  <c r="B8" i="7"/>
  <c r="C6" i="7"/>
  <c r="B6" i="7"/>
  <c r="B5" i="7"/>
  <c r="C5" i="7"/>
  <c r="C4" i="7"/>
  <c r="B4" i="7"/>
</calcChain>
</file>

<file path=xl/sharedStrings.xml><?xml version="1.0" encoding="utf-8"?>
<sst xmlns="http://schemas.openxmlformats.org/spreadsheetml/2006/main" count="610" uniqueCount="95">
  <si>
    <t>PP</t>
  </si>
  <si>
    <t>PSOE</t>
  </si>
  <si>
    <t>VOX</t>
  </si>
  <si>
    <t>Sumar</t>
  </si>
  <si>
    <t>API - P.original - Edad - GPT 5</t>
  </si>
  <si>
    <t>API - P.original - Edad e ingresos - GPT 5</t>
  </si>
  <si>
    <t>API - P.original - Edad - GPT 4</t>
  </si>
  <si>
    <t>API - P.original - Edad e ingresos - GPT 4</t>
  </si>
  <si>
    <t>API - P.original - Edad - GPT 4o-mini</t>
  </si>
  <si>
    <t>API - P.original - Edad e ingresos - GPT 4o-mini</t>
  </si>
  <si>
    <t>API - P.perfecto - Edad - GPT 5</t>
  </si>
  <si>
    <t>API - P.perfecto - Edad e ingresos - GPT 5</t>
  </si>
  <si>
    <t>API - P.perfecto - Edad - GPT 4</t>
  </si>
  <si>
    <t>API - P.perfecto - Edad e ingresos - GPT 4</t>
  </si>
  <si>
    <t>API - P.perfecto - Edad - GPT 4o-mini</t>
  </si>
  <si>
    <t>API - P.perfecto - Edad e ingresos - GPT 4o-mini</t>
  </si>
  <si>
    <t>CHAT - P.original - Edad - GPT 5</t>
  </si>
  <si>
    <t>CHAT - P.original - Edad e ingresos GPT 5</t>
  </si>
  <si>
    <t>CHAT - P.original - Edad - GPT 4o</t>
  </si>
  <si>
    <t>CHAT - P.original - Edad e ingresos GPT 4o</t>
  </si>
  <si>
    <t>CHAT - P.perfecto - Edad - GPT 5</t>
  </si>
  <si>
    <t>CHAT - P.perfecto - Edad e ingresos - GPT 5</t>
  </si>
  <si>
    <t>Resultados Reales</t>
  </si>
  <si>
    <t>Blanco</t>
  </si>
  <si>
    <t>CHAT - P.original- Edad e ingresos - GPT 4o</t>
  </si>
  <si>
    <t>Survey</t>
  </si>
  <si>
    <t>Human Surveys</t>
  </si>
  <si>
    <t>API - P.perfect - Edad e ingresos - GPT 5</t>
  </si>
  <si>
    <t>API - P.perfect - Edad - GPT 4</t>
  </si>
  <si>
    <t>API - P.perfect - Edad e ingresos - GPT 4</t>
  </si>
  <si>
    <t>CHAT - P.perfect - Edad - GPT 5</t>
  </si>
  <si>
    <t>CHAT - P.perfect - Edad e ingresos - GPT 5</t>
  </si>
  <si>
    <t>Electoral Results</t>
  </si>
  <si>
    <t>Human Survey</t>
  </si>
  <si>
    <t>API - P.perfect - Edad - GPT 5</t>
  </si>
  <si>
    <t>API - P.perfect - Edad - GPT 4o-mini</t>
  </si>
  <si>
    <t>API - P.perfect - Edad e ingresos - GPT 4o-mini</t>
  </si>
  <si>
    <t>CHAT - P.perfect- Edad - GPT 5</t>
  </si>
  <si>
    <t>CHAT - P.perfect- Edad e ingresos - GPT 5</t>
  </si>
  <si>
    <t>RECM(+B) - Edad</t>
  </si>
  <si>
    <t>RECM(+B) - Edad + ingresos</t>
  </si>
  <si>
    <t>API</t>
  </si>
  <si>
    <t>GPT 4</t>
  </si>
  <si>
    <t>GPT 4o - mini</t>
  </si>
  <si>
    <t>GPT 5</t>
  </si>
  <si>
    <t>CHAT</t>
  </si>
  <si>
    <t>Comparación Errores por modelo, canal y perfil demográfico - General</t>
  </si>
  <si>
    <t>Comparación Errores por modelo, canal y prompt - General</t>
  </si>
  <si>
    <t>RECM(+B) - P.Original</t>
  </si>
  <si>
    <t>RECM(+B) - P.Perfecto</t>
  </si>
  <si>
    <t xml:space="preserve"> </t>
  </si>
  <si>
    <t>-</t>
  </si>
  <si>
    <t>Edad</t>
  </si>
  <si>
    <t>Edad + Ingresos</t>
  </si>
  <si>
    <t>MADRID</t>
  </si>
  <si>
    <t>Comparación RMSE +B - PIMLE</t>
  </si>
  <si>
    <t>ANDALUCÍA</t>
  </si>
  <si>
    <t>VALENCIA</t>
  </si>
  <si>
    <t>--</t>
  </si>
  <si>
    <t>P.Original</t>
  </si>
  <si>
    <t>P.Perfecto</t>
  </si>
  <si>
    <t>Emulación RMSE +B - PIMLE</t>
  </si>
  <si>
    <t>Modelo</t>
  </si>
  <si>
    <t>CHAT - P.perfecto - Edad e ingresos GPT 4o</t>
  </si>
  <si>
    <t>API-GPT5-P.perfecto-edad</t>
  </si>
  <si>
    <t>API-GPT4o-mini-P.perfecto-edad</t>
  </si>
  <si>
    <t>API-GPT4o-mini-P.perfecto-edad+ingresos</t>
  </si>
  <si>
    <t>API - P.perfecto - Edad  - GPT 5</t>
  </si>
  <si>
    <t>Blank</t>
  </si>
  <si>
    <t>Emulation</t>
  </si>
  <si>
    <t>MSE</t>
  </si>
  <si>
    <t>RMSE</t>
  </si>
  <si>
    <t>MSE (+Blank)</t>
  </si>
  <si>
    <t>RMSE (+Blank)</t>
  </si>
  <si>
    <t>Vox</t>
  </si>
  <si>
    <t>NAIVE</t>
  </si>
  <si>
    <t>MOS</t>
  </si>
  <si>
    <t>MLE</t>
  </si>
  <si>
    <t>PIMLE</t>
  </si>
  <si>
    <t>Real Results</t>
  </si>
  <si>
    <t>API-GPT5-P.original-edad</t>
  </si>
  <si>
    <t>API-GPT4o-mini-P.original-edad</t>
  </si>
  <si>
    <t>API-GPT4-P.original-edad</t>
  </si>
  <si>
    <t>API-GPT4-P.original-edad+ingresos</t>
  </si>
  <si>
    <t>API-GPT4o-mini-P.original-edad+ingresos</t>
  </si>
  <si>
    <t>API-GPT5-P.original-edad+ingresos</t>
  </si>
  <si>
    <t>API-GPT5-P.perfecto-edad+ingresos</t>
  </si>
  <si>
    <t>API-GPT4-P.perfecto-edad</t>
  </si>
  <si>
    <t>API-GPT4-P.perfecto-edad+ingresos</t>
  </si>
  <si>
    <t>ONLINE-GPT5-P.perfecto-edad</t>
  </si>
  <si>
    <t>ONLINE-GPT5-P.perfecto-edad+ingresos</t>
  </si>
  <si>
    <t>ONLINE-GPT5-P.original-edad</t>
  </si>
  <si>
    <t>ONLINE-GPT5-P.original-edad+ingresos</t>
  </si>
  <si>
    <t>ONLINE-GPT4o-P.original-edad+ingresos</t>
  </si>
  <si>
    <t>API-GPT4o-mini-P.originaledad+ingresos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</si>
</sst>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2" fontId="0" fillId="4" borderId="1" xfId="0" applyNumberFormat="1" applyFill="1" applyBorder="1"/>
    <xf numFmtId="165" fontId="0" fillId="5" borderId="1" xfId="0" applyNumberFormat="1" applyFill="1" applyBorder="1"/>
    <xf numFmtId="2" fontId="0" fillId="2" borderId="1" xfId="0" applyNumberFormat="1" applyFill="1" applyBorder="1"/>
    <xf numFmtId="2" fontId="0" fillId="5" borderId="1" xfId="0" applyNumberFormat="1" applyFill="1" applyBorder="1"/>
    <xf numFmtId="2" fontId="1" fillId="4" borderId="1" xfId="0" applyNumberFormat="1" applyFont="1" applyFill="1" applyBorder="1"/>
    <xf numFmtId="165" fontId="1" fillId="5" borderId="1" xfId="0" applyNumberFormat="1" applyFont="1" applyFill="1" applyBorder="1"/>
    <xf numFmtId="165" fontId="0" fillId="4" borderId="1" xfId="0" applyNumberFormat="1" applyFill="1" applyBorder="1"/>
    <xf numFmtId="2" fontId="0" fillId="6" borderId="1" xfId="0" applyNumberFormat="1" applyFill="1" applyBorder="1"/>
    <xf numFmtId="0" fontId="0" fillId="8" borderId="1" xfId="0" applyFill="1" applyBorder="1"/>
    <xf numFmtId="0" fontId="0" fillId="6" borderId="1" xfId="0" applyFill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0" fontId="1" fillId="5" borderId="1" xfId="0" applyFont="1" applyFill="1" applyBorder="1"/>
    <xf numFmtId="2" fontId="1" fillId="6" borderId="1" xfId="0" applyNumberFormat="1" applyFont="1" applyFill="1" applyBorder="1"/>
    <xf numFmtId="2" fontId="1" fillId="5" borderId="1" xfId="0" applyNumberFormat="1" applyFont="1" applyFill="1" applyBorder="1"/>
    <xf numFmtId="0" fontId="1" fillId="0" borderId="0" xfId="0" applyFont="1"/>
    <xf numFmtId="0" fontId="1" fillId="8" borderId="1" xfId="0" applyFont="1" applyFill="1" applyBorder="1"/>
    <xf numFmtId="0" fontId="1" fillId="6" borderId="1" xfId="0" applyFont="1" applyFill="1" applyBorder="1"/>
    <xf numFmtId="2" fontId="0" fillId="8" borderId="1" xfId="0" applyNumberFormat="1" applyFill="1" applyBorder="1"/>
    <xf numFmtId="2" fontId="1" fillId="8" borderId="1" xfId="0" applyNumberFormat="1" applyFont="1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1" fillId="0" borderId="2" xfId="0" applyFont="1" applyBorder="1" applyAlignment="1">
      <alignment horizontal="center" vertical="center"/>
    </xf>
    <xf numFmtId="2" fontId="3" fillId="8" borderId="2" xfId="0" applyNumberFormat="1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0" fillId="2" borderId="5" xfId="0" applyNumberFormat="1" applyFill="1" applyBorder="1"/>
    <xf numFmtId="2" fontId="0" fillId="2" borderId="6" xfId="0" applyNumberFormat="1" applyFill="1" applyBorder="1"/>
    <xf numFmtId="2" fontId="3" fillId="9" borderId="5" xfId="0" applyNumberFormat="1" applyFont="1" applyFill="1" applyBorder="1"/>
    <xf numFmtId="2" fontId="3" fillId="9" borderId="6" xfId="0" applyNumberFormat="1" applyFont="1" applyFill="1" applyBorder="1"/>
    <xf numFmtId="2" fontId="0" fillId="9" borderId="5" xfId="0" applyNumberFormat="1" applyFill="1" applyBorder="1"/>
    <xf numFmtId="2" fontId="0" fillId="9" borderId="6" xfId="0" applyNumberFormat="1" applyFill="1" applyBorder="1"/>
    <xf numFmtId="2" fontId="1" fillId="9" borderId="5" xfId="0" applyNumberFormat="1" applyFont="1" applyFill="1" applyBorder="1"/>
    <xf numFmtId="2" fontId="1" fillId="9" borderId="6" xfId="0" applyNumberFormat="1" applyFont="1" applyFill="1" applyBorder="1"/>
    <xf numFmtId="2" fontId="0" fillId="7" borderId="5" xfId="0" applyNumberFormat="1" applyFill="1" applyBorder="1"/>
    <xf numFmtId="2" fontId="0" fillId="7" borderId="6" xfId="0" applyNumberFormat="1" applyFill="1" applyBorder="1"/>
    <xf numFmtId="2" fontId="3" fillId="7" borderId="5" xfId="0" applyNumberFormat="1" applyFont="1" applyFill="1" applyBorder="1"/>
    <xf numFmtId="165" fontId="3" fillId="7" borderId="6" xfId="0" applyNumberFormat="1" applyFont="1" applyFill="1" applyBorder="1"/>
    <xf numFmtId="2" fontId="1" fillId="7" borderId="7" xfId="0" applyNumberFormat="1" applyFont="1" applyFill="1" applyBorder="1"/>
    <xf numFmtId="165" fontId="1" fillId="7" borderId="8" xfId="0" applyNumberFormat="1" applyFont="1" applyFill="1" applyBorder="1"/>
    <xf numFmtId="0" fontId="0" fillId="2" borderId="2" xfId="0" applyFill="1" applyBorder="1"/>
    <xf numFmtId="0" fontId="3" fillId="4" borderId="2" xfId="0" applyFont="1" applyFill="1" applyBorder="1"/>
    <xf numFmtId="0" fontId="0" fillId="4" borderId="2" xfId="0" applyFill="1" applyBorder="1"/>
    <xf numFmtId="0" fontId="1" fillId="4" borderId="2" xfId="0" applyFont="1" applyFill="1" applyBorder="1"/>
    <xf numFmtId="0" fontId="0" fillId="5" borderId="2" xfId="0" applyFill="1" applyBorder="1"/>
    <xf numFmtId="0" fontId="3" fillId="5" borderId="2" xfId="0" applyFont="1" applyFill="1" applyBorder="1"/>
    <xf numFmtId="0" fontId="1" fillId="5" borderId="2" xfId="0" applyFont="1" applyFill="1" applyBorder="1"/>
    <xf numFmtId="2" fontId="0" fillId="8" borderId="5" xfId="0" applyNumberFormat="1" applyFill="1" applyBorder="1"/>
    <xf numFmtId="2" fontId="0" fillId="8" borderId="6" xfId="0" applyNumberFormat="1" applyFill="1" applyBorder="1"/>
    <xf numFmtId="2" fontId="3" fillId="8" borderId="5" xfId="0" applyNumberFormat="1" applyFont="1" applyFill="1" applyBorder="1"/>
    <xf numFmtId="2" fontId="3" fillId="8" borderId="6" xfId="0" applyNumberFormat="1" applyFont="1" applyFill="1" applyBorder="1"/>
    <xf numFmtId="2" fontId="1" fillId="8" borderId="7" xfId="0" applyNumberFormat="1" applyFont="1" applyFill="1" applyBorder="1"/>
    <xf numFmtId="2" fontId="1" fillId="8" borderId="8" xfId="0" applyNumberFormat="1" applyFont="1" applyFill="1" applyBorder="1"/>
    <xf numFmtId="2" fontId="3" fillId="7" borderId="6" xfId="0" applyNumberFormat="1" applyFont="1" applyFill="1" applyBorder="1"/>
    <xf numFmtId="2" fontId="0" fillId="9" borderId="2" xfId="0" applyNumberFormat="1" applyFill="1" applyBorder="1"/>
    <xf numFmtId="2" fontId="0" fillId="8" borderId="2" xfId="0" applyNumberFormat="1" applyFill="1" applyBorder="1"/>
    <xf numFmtId="2" fontId="1" fillId="8" borderId="9" xfId="0" applyNumberFormat="1" applyFont="1" applyFill="1" applyBorder="1"/>
    <xf numFmtId="0" fontId="0" fillId="2" borderId="11" xfId="0" applyFill="1" applyBorder="1"/>
    <xf numFmtId="0" fontId="0" fillId="2" borderId="12" xfId="0" applyFill="1" applyBorder="1"/>
    <xf numFmtId="2" fontId="0" fillId="2" borderId="13" xfId="0" applyNumberFormat="1" applyFill="1" applyBorder="1"/>
    <xf numFmtId="2" fontId="0" fillId="2" borderId="12" xfId="0" applyNumberFormat="1" applyFill="1" applyBorder="1"/>
    <xf numFmtId="0" fontId="0" fillId="4" borderId="5" xfId="0" applyFill="1" applyBorder="1"/>
    <xf numFmtId="2" fontId="0" fillId="9" borderId="7" xfId="0" applyNumberFormat="1" applyFill="1" applyBorder="1"/>
    <xf numFmtId="2" fontId="0" fillId="9" borderId="9" xfId="0" applyNumberFormat="1" applyFill="1" applyBorder="1"/>
    <xf numFmtId="2" fontId="0" fillId="8" borderId="3" xfId="0" applyNumberFormat="1" applyFill="1" applyBorder="1"/>
    <xf numFmtId="2" fontId="0" fillId="8" borderId="15" xfId="0" applyNumberFormat="1" applyFill="1" applyBorder="1"/>
    <xf numFmtId="0" fontId="3" fillId="5" borderId="5" xfId="0" applyFont="1" applyFill="1" applyBorder="1"/>
    <xf numFmtId="0" fontId="0" fillId="5" borderId="5" xfId="0" applyFill="1" applyBorder="1"/>
    <xf numFmtId="2" fontId="1" fillId="9" borderId="3" xfId="0" applyNumberFormat="1" applyFont="1" applyFill="1" applyBorder="1"/>
    <xf numFmtId="2" fontId="1" fillId="9" borderId="4" xfId="0" applyNumberFormat="1" applyFont="1" applyFill="1" applyBorder="1"/>
    <xf numFmtId="0" fontId="3" fillId="4" borderId="5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11" borderId="1" xfId="0" applyFill="1" applyBorder="1"/>
    <xf numFmtId="2" fontId="0" fillId="0" borderId="1" xfId="0" applyNumberFormat="1" applyBorder="1"/>
    <xf numFmtId="2" fontId="4" fillId="0" borderId="1" xfId="0" applyNumberFormat="1" applyFont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3" borderId="1" xfId="0" applyFill="1" applyBorder="1"/>
    <xf numFmtId="2" fontId="0" fillId="0" borderId="1" xfId="0" applyNumberFormat="1" applyBorder="1" applyAlignment="1">
      <alignment horizontal="center"/>
    </xf>
    <xf numFmtId="2" fontId="5" fillId="0" borderId="1" xfId="0" applyNumberFormat="1" applyFont="1" applyBorder="1"/>
    <xf numFmtId="0" fontId="0" fillId="10" borderId="6" xfId="0" applyFill="1" applyBorder="1" applyAlignment="1">
      <alignment horizontal="center"/>
    </xf>
    <xf numFmtId="2" fontId="5" fillId="0" borderId="6" xfId="0" applyNumberFormat="1" applyFont="1" applyBorder="1"/>
    <xf numFmtId="2" fontId="4" fillId="0" borderId="2" xfId="0" applyNumberFormat="1" applyFont="1" applyBorder="1"/>
    <xf numFmtId="2" fontId="4" fillId="0" borderId="9" xfId="0" applyNumberFormat="1" applyFont="1" applyBorder="1"/>
    <xf numFmtId="0" fontId="0" fillId="10" borderId="5" xfId="0" applyFill="1" applyBorder="1" applyAlignment="1">
      <alignment horizontal="center"/>
    </xf>
    <xf numFmtId="2" fontId="5" fillId="0" borderId="5" xfId="0" applyNumberFormat="1" applyFont="1" applyBorder="1"/>
    <xf numFmtId="2" fontId="5" fillId="0" borderId="7" xfId="0" applyNumberFormat="1" applyFont="1" applyBorder="1"/>
    <xf numFmtId="0" fontId="0" fillId="0" borderId="22" xfId="0" applyBorder="1" applyAlignment="1">
      <alignment horizontal="center"/>
    </xf>
    <xf numFmtId="0" fontId="0" fillId="10" borderId="22" xfId="0" applyFill="1" applyBorder="1"/>
    <xf numFmtId="0" fontId="0" fillId="11" borderId="22" xfId="0" applyFill="1" applyBorder="1"/>
    <xf numFmtId="0" fontId="0" fillId="11" borderId="23" xfId="0" applyFill="1" applyBorder="1"/>
    <xf numFmtId="2" fontId="4" fillId="0" borderId="5" xfId="0" applyNumberFormat="1" applyFont="1" applyBorder="1"/>
    <xf numFmtId="2" fontId="0" fillId="0" borderId="6" xfId="0" applyNumberFormat="1" applyBorder="1"/>
    <xf numFmtId="2" fontId="0" fillId="0" borderId="5" xfId="0" applyNumberFormat="1" applyBorder="1"/>
    <xf numFmtId="2" fontId="4" fillId="0" borderId="6" xfId="0" applyNumberFormat="1" applyFont="1" applyBorder="1"/>
    <xf numFmtId="2" fontId="6" fillId="0" borderId="6" xfId="0" applyNumberFormat="1" applyFont="1" applyBorder="1"/>
    <xf numFmtId="2" fontId="0" fillId="0" borderId="7" xfId="0" applyNumberFormat="1" applyBorder="1"/>
    <xf numFmtId="2" fontId="4" fillId="0" borderId="8" xfId="0" applyNumberFormat="1" applyFont="1" applyBorder="1"/>
    <xf numFmtId="0" fontId="0" fillId="0" borderId="0" xfId="0" quotePrefix="1" applyAlignment="1">
      <alignment horizontal="center"/>
    </xf>
    <xf numFmtId="2" fontId="5" fillId="0" borderId="5" xfId="0" quotePrefix="1" applyNumberFormat="1" applyFont="1" applyBorder="1" applyAlignment="1">
      <alignment horizontal="center"/>
    </xf>
    <xf numFmtId="2" fontId="6" fillId="0" borderId="8" xfId="0" applyNumberFormat="1" applyFont="1" applyBorder="1"/>
    <xf numFmtId="0" fontId="0" fillId="14" borderId="22" xfId="0" applyFill="1" applyBorder="1"/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23" xfId="0" applyFill="1" applyBorder="1"/>
    <xf numFmtId="0" fontId="0" fillId="14" borderId="2" xfId="0" applyFill="1" applyBorder="1" applyAlignment="1">
      <alignment horizontal="center"/>
    </xf>
    <xf numFmtId="2" fontId="4" fillId="0" borderId="22" xfId="0" applyNumberFormat="1" applyFont="1" applyBorder="1"/>
    <xf numFmtId="2" fontId="5" fillId="0" borderId="2" xfId="0" applyNumberFormat="1" applyFont="1" applyBorder="1"/>
    <xf numFmtId="0" fontId="0" fillId="0" borderId="6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3" borderId="2" xfId="0" applyFill="1" applyBorder="1"/>
    <xf numFmtId="0" fontId="1" fillId="0" borderId="14" xfId="0" applyFont="1" applyBorder="1" applyAlignment="1">
      <alignment horizontal="center" vertical="center"/>
    </xf>
    <xf numFmtId="2" fontId="0" fillId="6" borderId="5" xfId="0" applyNumberFormat="1" applyFill="1" applyBorder="1"/>
    <xf numFmtId="2" fontId="0" fillId="4" borderId="6" xfId="0" applyNumberFormat="1" applyFill="1" applyBorder="1"/>
    <xf numFmtId="2" fontId="3" fillId="6" borderId="5" xfId="0" applyNumberFormat="1" applyFont="1" applyFill="1" applyBorder="1"/>
    <xf numFmtId="2" fontId="3" fillId="4" borderId="6" xfId="0" applyNumberFormat="1" applyFont="1" applyFill="1" applyBorder="1"/>
    <xf numFmtId="2" fontId="1" fillId="6" borderId="5" xfId="0" applyNumberFormat="1" applyFont="1" applyFill="1" applyBorder="1"/>
    <xf numFmtId="2" fontId="1" fillId="4" borderId="6" xfId="0" applyNumberFormat="1" applyFont="1" applyFill="1" applyBorder="1"/>
    <xf numFmtId="165" fontId="0" fillId="5" borderId="6" xfId="0" applyNumberFormat="1" applyFill="1" applyBorder="1"/>
    <xf numFmtId="2" fontId="1" fillId="8" borderId="5" xfId="0" applyNumberFormat="1" applyFont="1" applyFill="1" applyBorder="1"/>
    <xf numFmtId="165" fontId="1" fillId="5" borderId="6" xfId="0" applyNumberFormat="1" applyFont="1" applyFill="1" applyBorder="1"/>
    <xf numFmtId="2" fontId="0" fillId="5" borderId="6" xfId="0" applyNumberFormat="1" applyFill="1" applyBorder="1"/>
    <xf numFmtId="2" fontId="3" fillId="5" borderId="6" xfId="0" applyNumberFormat="1" applyFont="1" applyFill="1" applyBorder="1"/>
    <xf numFmtId="0" fontId="0" fillId="3" borderId="7" xfId="0" applyFill="1" applyBorder="1"/>
    <xf numFmtId="0" fontId="0" fillId="3" borderId="16" xfId="0" applyFill="1" applyBorder="1"/>
    <xf numFmtId="0" fontId="0" fillId="3" borderId="8" xfId="0" applyFill="1" applyBorder="1"/>
    <xf numFmtId="0" fontId="3" fillId="6" borderId="2" xfId="0" applyFont="1" applyFill="1" applyBorder="1"/>
    <xf numFmtId="0" fontId="1" fillId="6" borderId="2" xfId="0" applyFont="1" applyFill="1" applyBorder="1"/>
    <xf numFmtId="0" fontId="0" fillId="6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4" borderId="6" xfId="0" applyFill="1" applyBorder="1"/>
    <xf numFmtId="0" fontId="3" fillId="4" borderId="6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0" fillId="8" borderId="6" xfId="0" applyFill="1" applyBorder="1"/>
    <xf numFmtId="0" fontId="0" fillId="5" borderId="6" xfId="0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3" fillId="5" borderId="6" xfId="0" applyFont="1" applyFill="1" applyBorder="1"/>
    <xf numFmtId="2" fontId="0" fillId="2" borderId="25" xfId="0" applyNumberFormat="1" applyFill="1" applyBorder="1"/>
    <xf numFmtId="0" fontId="0" fillId="4" borderId="22" xfId="0" applyFill="1" applyBorder="1"/>
    <xf numFmtId="0" fontId="0" fillId="4" borderId="23" xfId="0" applyFill="1" applyBorder="1"/>
    <xf numFmtId="0" fontId="0" fillId="5" borderId="20" xfId="0" applyFill="1" applyBorder="1"/>
    <xf numFmtId="0" fontId="3" fillId="5" borderId="22" xfId="0" applyFont="1" applyFill="1" applyBorder="1"/>
    <xf numFmtId="0" fontId="0" fillId="5" borderId="22" xfId="0" applyFill="1" applyBorder="1"/>
    <xf numFmtId="0" fontId="1" fillId="5" borderId="23" xfId="0" applyFont="1" applyFill="1" applyBorder="1"/>
    <xf numFmtId="0" fontId="0" fillId="3" borderId="26" xfId="0" applyFill="1" applyBorder="1"/>
    <xf numFmtId="0" fontId="0" fillId="2" borderId="13" xfId="0" applyFill="1" applyBorder="1"/>
    <xf numFmtId="0" fontId="0" fillId="2" borderId="25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2" fontId="1" fillId="7" borderId="8" xfId="0" applyNumberFormat="1" applyFont="1" applyFill="1" applyBorder="1"/>
    <xf numFmtId="2" fontId="1" fillId="7" borderId="13" xfId="0" applyNumberFormat="1" applyFont="1" applyFill="1" applyBorder="1"/>
    <xf numFmtId="2" fontId="1" fillId="7" borderId="25" xfId="0" applyNumberFormat="1" applyFont="1" applyFill="1" applyBorder="1"/>
    <xf numFmtId="2" fontId="0" fillId="3" borderId="30" xfId="0" applyNumberFormat="1" applyFill="1" applyBorder="1"/>
    <xf numFmtId="2" fontId="0" fillId="3" borderId="31" xfId="0" applyNumberFormat="1" applyFill="1" applyBorder="1"/>
    <xf numFmtId="2" fontId="7" fillId="0" borderId="5" xfId="0" applyNumberFormat="1" applyFont="1" applyBorder="1"/>
    <xf numFmtId="2" fontId="7" fillId="0" borderId="5" xfId="0" quotePrefix="1" applyNumberFormat="1" applyFont="1" applyBorder="1" applyAlignment="1">
      <alignment horizontal="center"/>
    </xf>
    <xf numFmtId="2" fontId="7" fillId="0" borderId="7" xfId="0" applyNumberFormat="1" applyFont="1" applyBorder="1"/>
    <xf numFmtId="2" fontId="5" fillId="0" borderId="36" xfId="0" applyNumberFormat="1" applyFont="1" applyBorder="1"/>
    <xf numFmtId="2" fontId="7" fillId="0" borderId="37" xfId="0" applyNumberFormat="1" applyFont="1" applyBorder="1"/>
    <xf numFmtId="0" fontId="0" fillId="15" borderId="20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0" fontId="0" fillId="16" borderId="22" xfId="0" applyFill="1" applyBorder="1"/>
    <xf numFmtId="0" fontId="0" fillId="16" borderId="23" xfId="0" applyFill="1" applyBorder="1"/>
    <xf numFmtId="2" fontId="7" fillId="0" borderId="5" xfId="0" quotePrefix="1" applyNumberFormat="1" applyFont="1" applyBorder="1" applyAlignment="1">
      <alignment horizontal="right"/>
    </xf>
    <xf numFmtId="2" fontId="7" fillId="0" borderId="36" xfId="0" applyNumberFormat="1" applyFont="1" applyBorder="1"/>
    <xf numFmtId="2" fontId="3" fillId="6" borderId="1" xfId="0" applyNumberFormat="1" applyFont="1" applyFill="1" applyBorder="1"/>
    <xf numFmtId="2" fontId="3" fillId="4" borderId="1" xfId="0" applyNumberFormat="1" applyFont="1" applyFill="1" applyBorder="1"/>
    <xf numFmtId="2" fontId="3" fillId="8" borderId="1" xfId="0" applyNumberFormat="1" applyFont="1" applyFill="1" applyBorder="1"/>
    <xf numFmtId="2" fontId="3" fillId="5" borderId="1" xfId="0" applyNumberFormat="1" applyFont="1" applyFill="1" applyBorder="1"/>
    <xf numFmtId="0" fontId="0" fillId="5" borderId="13" xfId="0" applyFill="1" applyBorder="1"/>
    <xf numFmtId="0" fontId="0" fillId="5" borderId="11" xfId="0" applyFill="1" applyBorder="1"/>
    <xf numFmtId="0" fontId="0" fillId="5" borderId="25" xfId="0" applyFill="1" applyBorder="1"/>
    <xf numFmtId="2" fontId="0" fillId="8" borderId="7" xfId="0" applyNumberFormat="1" applyFill="1" applyBorder="1"/>
    <xf numFmtId="2" fontId="0" fillId="5" borderId="16" xfId="0" applyNumberFormat="1" applyFill="1" applyBorder="1"/>
    <xf numFmtId="2" fontId="0" fillId="8" borderId="16" xfId="0" applyNumberFormat="1" applyFill="1" applyBorder="1"/>
    <xf numFmtId="2" fontId="0" fillId="5" borderId="8" xfId="0" applyNumberFormat="1" applyFill="1" applyBorder="1"/>
    <xf numFmtId="2" fontId="0" fillId="0" borderId="0" xfId="0" quotePrefix="1" applyNumberFormat="1" applyAlignment="1">
      <alignment horizontal="right"/>
    </xf>
    <xf numFmtId="165" fontId="0" fillId="4" borderId="5" xfId="0" applyNumberFormat="1" applyFill="1" applyBorder="1"/>
    <xf numFmtId="165" fontId="0" fillId="4" borderId="6" xfId="0" applyNumberFormat="1" applyFill="1" applyBorder="1"/>
    <xf numFmtId="2" fontId="0" fillId="0" borderId="2" xfId="0" quotePrefix="1" applyNumberFormat="1" applyBorder="1" applyAlignment="1">
      <alignment horizontal="right"/>
    </xf>
    <xf numFmtId="0" fontId="0" fillId="0" borderId="0" xfId="0" quotePrefix="1" applyAlignment="1">
      <alignment horizontal="right"/>
    </xf>
    <xf numFmtId="0" fontId="0" fillId="4" borderId="38" xfId="0" applyFill="1" applyBorder="1"/>
    <xf numFmtId="165" fontId="0" fillId="4" borderId="13" xfId="0" applyNumberFormat="1" applyFill="1" applyBorder="1"/>
    <xf numFmtId="165" fontId="0" fillId="4" borderId="11" xfId="0" applyNumberFormat="1" applyFill="1" applyBorder="1"/>
    <xf numFmtId="165" fontId="0" fillId="4" borderId="25" xfId="0" applyNumberFormat="1" applyFill="1" applyBorder="1"/>
    <xf numFmtId="165" fontId="0" fillId="4" borderId="7" xfId="0" applyNumberFormat="1" applyFill="1" applyBorder="1"/>
    <xf numFmtId="165" fontId="0" fillId="4" borderId="16" xfId="0" applyNumberFormat="1" applyFill="1" applyBorder="1"/>
    <xf numFmtId="165" fontId="0" fillId="4" borderId="8" xfId="0" applyNumberFormat="1" applyFill="1" applyBorder="1"/>
    <xf numFmtId="0" fontId="0" fillId="4" borderId="20" xfId="0" applyFill="1" applyBorder="1"/>
    <xf numFmtId="2" fontId="0" fillId="9" borderId="3" xfId="0" applyNumberFormat="1" applyFill="1" applyBorder="1"/>
    <xf numFmtId="2" fontId="0" fillId="9" borderId="15" xfId="0" applyNumberFormat="1" applyFill="1" applyBorder="1"/>
    <xf numFmtId="2" fontId="0" fillId="9" borderId="4" xfId="0" applyNumberFormat="1" applyFill="1" applyBorder="1"/>
    <xf numFmtId="0" fontId="1" fillId="4" borderId="22" xfId="0" applyFont="1" applyFill="1" applyBorder="1"/>
    <xf numFmtId="165" fontId="1" fillId="4" borderId="5" xfId="0" applyNumberFormat="1" applyFont="1" applyFill="1" applyBorder="1"/>
    <xf numFmtId="165" fontId="1" fillId="4" borderId="6" xfId="0" applyNumberFormat="1" applyFont="1" applyFill="1" applyBorder="1"/>
    <xf numFmtId="2" fontId="1" fillId="9" borderId="2" xfId="0" applyNumberFormat="1" applyFont="1" applyFill="1" applyBorder="1"/>
    <xf numFmtId="165" fontId="0" fillId="4" borderId="3" xfId="0" applyNumberFormat="1" applyFill="1" applyBorder="1"/>
    <xf numFmtId="165" fontId="0" fillId="4" borderId="14" xfId="0" applyNumberFormat="1" applyFill="1" applyBorder="1"/>
    <xf numFmtId="165" fontId="0" fillId="4" borderId="4" xfId="0" applyNumberFormat="1" applyFill="1" applyBorder="1"/>
    <xf numFmtId="165" fontId="0" fillId="5" borderId="3" xfId="0" applyNumberFormat="1" applyFill="1" applyBorder="1"/>
    <xf numFmtId="165" fontId="0" fillId="5" borderId="14" xfId="0" applyNumberFormat="1" applyFill="1" applyBorder="1"/>
    <xf numFmtId="165" fontId="0" fillId="8" borderId="4" xfId="0" applyNumberFormat="1" applyFill="1" applyBorder="1"/>
    <xf numFmtId="165" fontId="3" fillId="5" borderId="5" xfId="0" applyNumberFormat="1" applyFont="1" applyFill="1" applyBorder="1"/>
    <xf numFmtId="165" fontId="3" fillId="5" borderId="1" xfId="0" applyNumberFormat="1" applyFont="1" applyFill="1" applyBorder="1"/>
    <xf numFmtId="165" fontId="3" fillId="5" borderId="6" xfId="0" applyNumberFormat="1" applyFont="1" applyFill="1" applyBorder="1"/>
    <xf numFmtId="165" fontId="0" fillId="5" borderId="5" xfId="0" applyNumberFormat="1" applyFill="1" applyBorder="1"/>
    <xf numFmtId="165" fontId="1" fillId="5" borderId="7" xfId="0" applyNumberFormat="1" applyFont="1" applyFill="1" applyBorder="1"/>
    <xf numFmtId="165" fontId="1" fillId="5" borderId="16" xfId="0" applyNumberFormat="1" applyFont="1" applyFill="1" applyBorder="1"/>
    <xf numFmtId="165" fontId="1" fillId="5" borderId="8" xfId="0" applyNumberFormat="1" applyFont="1" applyFill="1" applyBorder="1"/>
    <xf numFmtId="2" fontId="0" fillId="0" borderId="6" xfId="0" quotePrefix="1" applyNumberFormat="1" applyBorder="1" applyAlignment="1">
      <alignment horizontal="right"/>
    </xf>
    <xf numFmtId="2" fontId="4" fillId="0" borderId="6" xfId="0" quotePrefix="1" applyNumberFormat="1" applyFont="1" applyBorder="1" applyAlignment="1">
      <alignment horizontal="right"/>
    </xf>
    <xf numFmtId="2" fontId="5" fillId="0" borderId="6" xfId="0" quotePrefix="1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4" borderId="0" xfId="0" applyFill="1"/>
    <xf numFmtId="0" fontId="4" fillId="0" borderId="0" xfId="0" applyFont="1"/>
    <xf numFmtId="0" fontId="0" fillId="13" borderId="0" xfId="0" applyFill="1"/>
    <xf numFmtId="4" fontId="1" fillId="0" borderId="0" xfId="0" applyNumberFormat="1" applyFont="1"/>
    <xf numFmtId="0" fontId="1" fillId="4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7C80"/>
      <color rgb="FFFFFF99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D6BD-D22C-465B-A3BC-F73FDA4516DB}">
  <dimension ref="A1:O51"/>
  <sheetViews>
    <sheetView tabSelected="1" zoomScaleNormal="100" workbookViewId="0">
      <selection activeCell="D51" sqref="D51"/>
    </sheetView>
  </sheetViews>
  <sheetFormatPr baseColWidth="10" defaultRowHeight="15" x14ac:dyDescent="0.25"/>
  <cols>
    <col min="1" max="1" width="15.5703125" customWidth="1"/>
    <col min="2" max="2" width="17.85546875" customWidth="1"/>
    <col min="3" max="3" width="15.7109375" customWidth="1"/>
    <col min="4" max="4" width="15.5703125" customWidth="1"/>
    <col min="5" max="5" width="17.5703125" customWidth="1"/>
    <col min="6" max="6" width="19.42578125" customWidth="1"/>
    <col min="7" max="7" width="16.7109375" customWidth="1"/>
    <col min="9" max="9" width="15.140625" customWidth="1"/>
    <col min="11" max="11" width="13.5703125" customWidth="1"/>
    <col min="13" max="13" width="14.140625" customWidth="1"/>
    <col min="15" max="15" width="15.140625" customWidth="1"/>
  </cols>
  <sheetData>
    <row r="1" spans="1:15" x14ac:dyDescent="0.25">
      <c r="A1" s="226" t="s">
        <v>46</v>
      </c>
      <c r="B1" s="226"/>
      <c r="C1" s="226"/>
      <c r="E1" s="226" t="s">
        <v>47</v>
      </c>
      <c r="F1" s="226"/>
      <c r="G1" s="226"/>
    </row>
    <row r="2" spans="1:15" x14ac:dyDescent="0.25">
      <c r="A2" s="77"/>
      <c r="B2" s="78" t="s">
        <v>39</v>
      </c>
      <c r="C2" s="78" t="s">
        <v>40</v>
      </c>
      <c r="E2" s="84"/>
      <c r="F2" s="85" t="s">
        <v>48</v>
      </c>
      <c r="G2" s="85" t="s">
        <v>49</v>
      </c>
    </row>
    <row r="3" spans="1:15" x14ac:dyDescent="0.25">
      <c r="A3" s="79" t="s">
        <v>41</v>
      </c>
      <c r="B3" s="80"/>
      <c r="C3" s="80"/>
      <c r="E3" s="79" t="s">
        <v>41</v>
      </c>
      <c r="F3" s="80"/>
      <c r="G3" s="80"/>
    </row>
    <row r="4" spans="1:15" x14ac:dyDescent="0.25">
      <c r="A4" s="81" t="s">
        <v>42</v>
      </c>
      <c r="B4" s="82">
        <f>AVERAGE('Madrid - PIMLE'!J5,'Madrid - PIMLE'!J11,'Andalusia - PIMLE'!J5,'Andalusia - PIMLE'!J11,'Valencia - PIMLE'!J5,'Valencia - PIMLE'!J14)</f>
        <v>10.34527885634893</v>
      </c>
      <c r="C4" s="83">
        <f>AVERAGE('Madrid - PIMLE'!J6,'Madrid - PIMLE'!J12,'Andalusia - PIMLE'!J6,'Andalusia - PIMLE'!J12,'Valencia - PIMLE'!J6)</f>
        <v>11.327762942389821</v>
      </c>
      <c r="E4" s="86" t="s">
        <v>42</v>
      </c>
      <c r="F4" s="82">
        <f>AVERAGE('Madrid - PIMLE'!J5:J6,'Andalusia - PIMLE'!J5:J6,'Valencia - PIMLE'!J5:J6)</f>
        <v>11.27756863187836</v>
      </c>
      <c r="G4" s="83">
        <f>AVERAGE('Madrid - PIMLE'!J11:J12,'Andalusia - PIMLE'!J11:J12,'Valencia - PIMLE'!J14)</f>
        <v>10.209015211754506</v>
      </c>
    </row>
    <row r="5" spans="1:15" x14ac:dyDescent="0.25">
      <c r="A5" s="81" t="s">
        <v>43</v>
      </c>
      <c r="B5" s="83">
        <f>AVERAGE('Madrid - PIMLE'!J7,'Madrid - PIMLE'!J13,'Andalusia - PIMLE'!J7,'Valencia - PIMLE'!J7)</f>
        <v>6.5995051019519071</v>
      </c>
      <c r="C5" s="82">
        <f>AVERAGE('Madrid - PIMLE'!J8,'Madrid - PIMLE'!J14,'Andalusia - PIMLE'!J8,'Valencia - PIMLE'!J8)</f>
        <v>7.2023601409005238</v>
      </c>
      <c r="E5" s="86" t="s">
        <v>43</v>
      </c>
      <c r="F5" s="83">
        <f>AVERAGE('Madrid - PIMLE'!J7:J8,'Andalusia - PIMLE'!J7:J8,'Valencia - PIMLE'!J7:J8)</f>
        <v>6.6659906594587035</v>
      </c>
      <c r="G5" s="82">
        <f>AVERAGE('Madrid - PIMLE'!J13:J14)</f>
        <v>7.6057585073287513</v>
      </c>
    </row>
    <row r="6" spans="1:15" x14ac:dyDescent="0.25">
      <c r="A6" s="81" t="s">
        <v>44</v>
      </c>
      <c r="B6" s="82">
        <f>AVERAGE('Madrid - PIMLE'!J3,'Madrid - PIMLE'!J9,'Andalusia - PIMLE'!J3,'Valencia - PIMLE'!J3,'Valencia - PIMLE'!J9)</f>
        <v>4.0749430231046651</v>
      </c>
      <c r="C6" s="83">
        <f>AVERAGE('Madrid - PIMLE'!J10,'Madrid - PIMLE'!J4,'Andalusia - PIMLE'!J4,'Andalusia - PIMLE'!J10,'Valencia - PIMLE'!J10,'Valencia - PIMLE'!J4)</f>
        <v>3.9671522115654008</v>
      </c>
      <c r="E6" s="86" t="s">
        <v>44</v>
      </c>
      <c r="F6" s="82">
        <f>AVERAGE('Madrid - PIMLE'!J3:J4,'Andalusia - PIMLE'!J3:J4,'Valencia - PIMLE'!J3:J4)</f>
        <v>4.1910256218131137</v>
      </c>
      <c r="G6" s="83">
        <f>AVERAGE('Madrid - PIMLE'!J9:J10,'Andalusia - PIMLE'!J10,'Valencia - PIMLE'!J9:J10)</f>
        <v>3.8062949308074097</v>
      </c>
    </row>
    <row r="7" spans="1:15" x14ac:dyDescent="0.25">
      <c r="A7" s="79" t="s">
        <v>45</v>
      </c>
      <c r="B7" s="80"/>
      <c r="C7" s="80"/>
      <c r="E7" s="79" t="s">
        <v>45</v>
      </c>
      <c r="F7" s="80"/>
      <c r="G7" s="80"/>
    </row>
    <row r="8" spans="1:15" x14ac:dyDescent="0.25">
      <c r="A8" s="81" t="s">
        <v>43</v>
      </c>
      <c r="B8" s="83">
        <f>AVERAGE('Madrid - PIMLE'!J17)</f>
        <v>3.3840803772960246</v>
      </c>
      <c r="C8" s="82">
        <f>AVERAGE('Madrid - PIMLE'!J18,'Andalusia - PIMLE'!J17,'Valencia - PIMLE'!J17)</f>
        <v>3.4340908116703459</v>
      </c>
      <c r="E8" s="86" t="s">
        <v>43</v>
      </c>
      <c r="F8" s="88">
        <f>AVERAGE('Madrid - PIMLE'!J17:J18,'Andalusia - PIMLE'!J17,'Valencia - PIMLE'!J17)</f>
        <v>3.4215882030767655</v>
      </c>
      <c r="G8" s="87" t="s">
        <v>51</v>
      </c>
    </row>
    <row r="9" spans="1:15" x14ac:dyDescent="0.25">
      <c r="A9" s="81" t="s">
        <v>44</v>
      </c>
      <c r="B9" s="82">
        <f>AVERAGE('Madrid - PIMLE'!J15,'Madrid - PIMLE'!J19,'Andalusia - PIMLE'!J15,'Andalusia - PIMLE'!J18,'Valencia - PIMLE'!J15,'Valencia - PIMLE'!J18)</f>
        <v>4.0565268998381692</v>
      </c>
      <c r="C9" s="83">
        <f>AVERAGE('Madrid - PIMLE'!J16,'Madrid - PIMLE'!J20,'Andalusia - PIMLE'!J16,'Andalusia - PIMLE'!J19,'Valencia - PIMLE'!J16,'Valencia - PIMLE'!J19)</f>
        <v>3.3867562931320077</v>
      </c>
      <c r="E9" s="86" t="s">
        <v>44</v>
      </c>
      <c r="F9" s="82">
        <f>AVERAGE('Madrid - PIMLE'!J15:J16,'Andalusia - PIMLE'!J15:J16,'Valencia - PIMLE'!J15:J16)</f>
        <v>4.0456760547158321</v>
      </c>
      <c r="G9" s="83">
        <f>AVERAGE('Madrid - PIMLE'!J19:J20,'Andalusia - PIMLE'!J18:J19,'Valencia - PIMLE'!J18:J19)</f>
        <v>3.3976071382543451</v>
      </c>
    </row>
    <row r="10" spans="1:15" x14ac:dyDescent="0.25">
      <c r="F10" t="s">
        <v>50</v>
      </c>
    </row>
    <row r="13" spans="1:15" ht="15.75" thickBot="1" x14ac:dyDescent="0.3"/>
    <row r="14" spans="1:15" ht="15.75" thickBot="1" x14ac:dyDescent="0.3">
      <c r="A14" s="229" t="s">
        <v>55</v>
      </c>
      <c r="B14" s="230"/>
      <c r="C14" s="230"/>
      <c r="D14" s="230"/>
      <c r="E14" s="230"/>
      <c r="F14" s="230"/>
      <c r="G14" s="231"/>
      <c r="I14" s="229" t="s">
        <v>61</v>
      </c>
      <c r="J14" s="230"/>
      <c r="K14" s="230"/>
      <c r="L14" s="230"/>
      <c r="M14" s="230"/>
      <c r="N14" s="230"/>
      <c r="O14" s="231"/>
    </row>
    <row r="15" spans="1:15" x14ac:dyDescent="0.25">
      <c r="A15" s="96"/>
      <c r="B15" s="227" t="s">
        <v>54</v>
      </c>
      <c r="C15" s="228"/>
      <c r="D15" s="227" t="s">
        <v>56</v>
      </c>
      <c r="E15" s="228"/>
      <c r="F15" s="227" t="s">
        <v>57</v>
      </c>
      <c r="G15" s="228"/>
      <c r="I15" s="96"/>
      <c r="J15" s="227" t="s">
        <v>54</v>
      </c>
      <c r="K15" s="228"/>
      <c r="L15" s="227" t="s">
        <v>56</v>
      </c>
      <c r="M15" s="228"/>
      <c r="N15" s="227" t="s">
        <v>57</v>
      </c>
      <c r="O15" s="228"/>
    </row>
    <row r="16" spans="1:15" x14ac:dyDescent="0.25">
      <c r="A16" s="97"/>
      <c r="B16" s="93" t="s">
        <v>52</v>
      </c>
      <c r="C16" s="89" t="s">
        <v>53</v>
      </c>
      <c r="D16" s="93" t="s">
        <v>52</v>
      </c>
      <c r="E16" s="89" t="s">
        <v>53</v>
      </c>
      <c r="F16" s="93" t="s">
        <v>52</v>
      </c>
      <c r="G16" s="89" t="s">
        <v>53</v>
      </c>
      <c r="I16" s="97"/>
      <c r="J16" s="93" t="s">
        <v>52</v>
      </c>
      <c r="K16" s="89" t="s">
        <v>53</v>
      </c>
      <c r="L16" s="93" t="s">
        <v>52</v>
      </c>
      <c r="M16" s="89" t="s">
        <v>53</v>
      </c>
      <c r="N16" s="93" t="s">
        <v>52</v>
      </c>
      <c r="O16" s="89" t="s">
        <v>53</v>
      </c>
    </row>
    <row r="17" spans="1:15" x14ac:dyDescent="0.25">
      <c r="A17" s="232" t="s">
        <v>41</v>
      </c>
      <c r="B17" s="233"/>
      <c r="C17" s="233"/>
      <c r="D17" s="233"/>
      <c r="E17" s="233"/>
      <c r="F17" s="233"/>
      <c r="G17" s="234"/>
      <c r="I17" s="232" t="s">
        <v>41</v>
      </c>
      <c r="J17" s="233"/>
      <c r="K17" s="233"/>
      <c r="L17" s="233"/>
      <c r="M17" s="233"/>
      <c r="N17" s="233"/>
      <c r="O17" s="234"/>
    </row>
    <row r="18" spans="1:15" x14ac:dyDescent="0.25">
      <c r="A18" s="98" t="s">
        <v>42</v>
      </c>
      <c r="B18" s="100">
        <f>AVERAGE('Madrid - PIMLE'!J11,'Madrid - PIMLE'!J5)</f>
        <v>10.838483077283087</v>
      </c>
      <c r="C18" s="101">
        <f>AVERAGE('Madrid - PIMLE'!J6,'Madrid - PIMLE'!J12)</f>
        <v>11.674338675102646</v>
      </c>
      <c r="D18" s="100">
        <f>AVERAGE('Andalusia - PIMLE'!J5,'Andalusia - PIMLE'!J11)</f>
        <v>10.95760899522956</v>
      </c>
      <c r="E18" s="90">
        <f>AVERAGE('Andalusia - PIMLE'!J6,'Andalusia - PIMLE'!J12)</f>
        <v>11.244108581037807</v>
      </c>
      <c r="F18" s="94">
        <f>AVERAGE('Valencia - PIMLE'!J5,'Valencia - PIMLE'!J11)</f>
        <v>11.575530573568205</v>
      </c>
      <c r="G18" s="103">
        <f>AVERAGE('Valencia - PIMLE'!J6)</f>
        <v>10.801920199668203</v>
      </c>
      <c r="I18" s="98" t="s">
        <v>42</v>
      </c>
      <c r="J18" s="100">
        <f>AVERAGE('Madrid - PIMLE'!L11,'Madrid - PIMLE'!L5)</f>
        <v>10.262867869477883</v>
      </c>
      <c r="K18" s="101">
        <f>AVERAGE('Madrid - PIMLE'!L6,'Madrid - PIMLE'!L12)</f>
        <v>11.099146137368185</v>
      </c>
      <c r="L18" s="100">
        <f>AVERAGE('Andalusia - PIMLE'!L5,'Andalusia - PIMLE'!L11)</f>
        <v>9.9337532762082734</v>
      </c>
      <c r="M18" s="90">
        <f>AVERAGE('Andalusia - PIMLE'!L6,'Andalusia - PIMLE'!L12)</f>
        <v>10.312528340669989</v>
      </c>
      <c r="N18" s="94">
        <f>AVERAGE('Valencia - PIMLE'!L5,'Valencia - PIMLE'!L14)</f>
        <v>6.9452403811717787</v>
      </c>
      <c r="O18" s="103">
        <f>AVERAGE('Valencia - PIMLE'!L6)</f>
        <v>8.5893119631318537</v>
      </c>
    </row>
    <row r="19" spans="1:15" x14ac:dyDescent="0.25">
      <c r="A19" s="98" t="s">
        <v>43</v>
      </c>
      <c r="B19" s="100">
        <f>AVERAGE('Madrid - PIMLE'!J7,'Madrid - PIMLE'!J13)</f>
        <v>6.8604583232309508</v>
      </c>
      <c r="C19" s="101">
        <f>AVERAGE('Madrid - PIMLE'!J14,'Madrid - PIMLE'!J8)</f>
        <v>7.657323428589061</v>
      </c>
      <c r="D19" s="100">
        <f>AVERAGE('Andalusia - PIMLE'!J7,'Andalusia - PIMLE'!J13)</f>
        <v>6.6536432848095304</v>
      </c>
      <c r="E19" s="90">
        <f>AVERAGE('Andalusia - PIMLE'!J14,'Andalusia - PIMLE'!J8)</f>
        <v>7.3726285010301558</v>
      </c>
      <c r="F19" s="102">
        <f>AVERAGE('Valencia - PIMLE'!J7,'Valencia - PIMLE'!J13)</f>
        <v>7.1159893418101383</v>
      </c>
      <c r="G19" s="103">
        <f>AVERAGE('Valencia - PIMLE'!J14,'Valencia - PIMLE'!J8)</f>
        <v>6.9073257295237003</v>
      </c>
      <c r="I19" s="98" t="s">
        <v>43</v>
      </c>
      <c r="J19" s="100">
        <f>AVERAGE('Madrid - PIMLE'!L7,'Madrid - PIMLE'!L13)</f>
        <v>6.2931460085420854</v>
      </c>
      <c r="K19" s="101">
        <f>AVERAGE('Madrid - PIMLE'!L14,'Madrid - PIMLE'!L8)</f>
        <v>7.1400769466968583</v>
      </c>
      <c r="L19" s="100">
        <f>AVERAGE('Andalusia - PIMLE'!L7)</f>
        <v>2.8774989139876315</v>
      </c>
      <c r="M19" s="90">
        <f>'Andalusia - PIMLE'!L8</f>
        <v>4.1646128271425171</v>
      </c>
      <c r="N19" s="100">
        <f>AVERAGE('Valencia - PIMLE'!L7)</f>
        <v>3.4876410365747228</v>
      </c>
      <c r="O19" s="90">
        <f>'Valencia - PIMLE'!L8</f>
        <v>3.8645931221798748</v>
      </c>
    </row>
    <row r="20" spans="1:15" x14ac:dyDescent="0.25">
      <c r="A20" s="98" t="s">
        <v>44</v>
      </c>
      <c r="B20" s="102">
        <f>AVERAGE('Madrid - PIMLE'!J3,'Madrid - PIMLE'!J9)</f>
        <v>3.7693894565826112</v>
      </c>
      <c r="C20" s="103">
        <f>AVERAGE('Madrid - PIMLE'!J4,'Madrid - PIMLE'!J10)</f>
        <v>3.7245822440332708</v>
      </c>
      <c r="D20" s="94">
        <f>AVERAGE('Andalusia - PIMLE'!J3,'Andalusia - PIMLE'!J9)</f>
        <v>3.9499468306395142</v>
      </c>
      <c r="E20" s="103">
        <f>AVERAGE('Andalusia - PIMLE'!J4,'Andalusia - PIMLE'!J10)</f>
        <v>3.9227900497886514</v>
      </c>
      <c r="F20" s="94">
        <f>AVERAGE('Valencia - PIMLE'!J3,'Valencia - PIMLE'!J9)</f>
        <v>4.2838406448166158</v>
      </c>
      <c r="G20" s="103">
        <f>AVERAGE('Valencia - PIMLE'!J4,'Valencia - PIMLE'!J10)</f>
        <v>4.2540843408742814</v>
      </c>
      <c r="I20" s="98" t="s">
        <v>44</v>
      </c>
      <c r="J20" s="102">
        <f>AVERAGE('Madrid - PIMLE'!L3,'Madrid - PIMLE'!L9)</f>
        <v>3.1970189941270863</v>
      </c>
      <c r="K20" s="103">
        <f>AVERAGE('Madrid - PIMLE'!L4,'Madrid - PIMLE'!L10)</f>
        <v>3.1862580665525018</v>
      </c>
      <c r="L20" s="94">
        <f>AVERAGE('Andalusia - PIMLE'!L3)</f>
        <v>1.84336648553672</v>
      </c>
      <c r="M20" s="103">
        <f>AVERAGE('Andalusia - PIMLE'!L4,'Andalusia - PIMLE'!L10)</f>
        <v>1.479321617947317</v>
      </c>
      <c r="N20" s="100">
        <f>AVERAGE('Valencia - PIMLE'!L3,'Valencia - PIMLE'!L9)</f>
        <v>1.2941140879814983</v>
      </c>
      <c r="O20" s="90">
        <f>AVERAGE('Valencia - PIMLE'!L4,'Valencia - PIMLE'!L10)</f>
        <v>1.4851463793067239</v>
      </c>
    </row>
    <row r="21" spans="1:15" x14ac:dyDescent="0.25">
      <c r="A21" s="232" t="s">
        <v>45</v>
      </c>
      <c r="B21" s="233"/>
      <c r="C21" s="233"/>
      <c r="D21" s="233"/>
      <c r="E21" s="233"/>
      <c r="F21" s="233"/>
      <c r="G21" s="234"/>
      <c r="I21" s="232" t="s">
        <v>45</v>
      </c>
      <c r="J21" s="233"/>
      <c r="K21" s="233"/>
      <c r="L21" s="233"/>
      <c r="M21" s="233"/>
      <c r="N21" s="233"/>
      <c r="O21" s="234"/>
    </row>
    <row r="22" spans="1:15" x14ac:dyDescent="0.25">
      <c r="A22" s="98" t="s">
        <v>43</v>
      </c>
      <c r="B22" s="94">
        <f>AVERAGE('Madrid - PIMLE'!J17)</f>
        <v>3.3840803772960246</v>
      </c>
      <c r="C22" s="90">
        <f>AVERAGE('Madrid - PIMLE'!J18,'Madrid - PIMLE'!J21)</f>
        <v>3.7908858835450046</v>
      </c>
      <c r="D22" s="107" t="s">
        <v>58</v>
      </c>
      <c r="E22" s="94">
        <f>AVERAGE('Andalusia - PIMLE'!J17)</f>
        <v>3.4793677586596106</v>
      </c>
      <c r="F22" s="108" t="s">
        <v>58</v>
      </c>
      <c r="G22" s="90">
        <f>'Valencia - PIMLE'!J17</f>
        <v>3.9902380881345909</v>
      </c>
      <c r="I22" s="98" t="s">
        <v>43</v>
      </c>
      <c r="J22" s="94">
        <f>AVERAGE('Madrid - PIMLE'!L17)</f>
        <v>2.7846005099475231</v>
      </c>
      <c r="K22" s="104">
        <f>'Madrid - PIMLE'!L18</f>
        <v>2.3405127643317827</v>
      </c>
      <c r="L22" s="107" t="s">
        <v>58</v>
      </c>
      <c r="M22" s="167">
        <f>AVERAGE('Andalusia - PIMLE'!L17)</f>
        <v>1.2107848694132268</v>
      </c>
      <c r="N22" s="108" t="s">
        <v>58</v>
      </c>
      <c r="O22" s="90">
        <f>'Valencia - PIMLE'!L17</f>
        <v>2.4811287753762397</v>
      </c>
    </row>
    <row r="23" spans="1:15" ht="15.75" thickBot="1" x14ac:dyDescent="0.3">
      <c r="A23" s="99" t="s">
        <v>44</v>
      </c>
      <c r="B23" s="105">
        <f>AVERAGE('Madrid - PIMLE'!J15,'Madrid - PIMLE'!J19)</f>
        <v>4.1037788170188927</v>
      </c>
      <c r="C23" s="106">
        <f>AVERAGE('Madrid - PIMLE'!J16,'Madrid - PIMLE'!J20)</f>
        <v>3.4590582436970303</v>
      </c>
      <c r="D23" s="95">
        <f>AVERAGE('Andalusia - PIMLE'!J15,'Andalusia - PIMLE'!J18)</f>
        <v>3.8605958296187035</v>
      </c>
      <c r="E23" s="109">
        <f>AVERAGE('Andalusia - PIMLE'!J16,'Andalusia - PIMLE'!J19)</f>
        <v>3.2791003551911504</v>
      </c>
      <c r="F23" s="95">
        <f>AVERAGE('Valencia - PIMLE'!J15,'Valencia - PIMLE'!J18)</f>
        <v>4.2052060528769122</v>
      </c>
      <c r="G23" s="109">
        <f>AVERAGE('Valencia - PIMLE'!J16,'Valencia - PIMLE'!J19)</f>
        <v>3.4221102805078427</v>
      </c>
      <c r="I23" s="99" t="s">
        <v>44</v>
      </c>
      <c r="J23" s="105">
        <f>AVERAGE('Madrid - PIMLE'!L15,'Madrid - PIMLE'!L19)</f>
        <v>3.5901457172374971</v>
      </c>
      <c r="K23" s="106">
        <f>AVERAGE('Madrid - PIMLE'!L16,'Madrid - PIMLE'!L20)</f>
        <v>2.9913989843209015</v>
      </c>
      <c r="L23" s="95">
        <f>AVERAGE('Andalusia - PIMLE'!L15,'Andalusia - PIMLE'!L18)</f>
        <v>1.7404867076750201</v>
      </c>
      <c r="M23" s="106">
        <f>AVERAGE('Andalusia - PIMLE'!L16,'Andalusia - PIMLE'!L19)</f>
        <v>1.47709957563455</v>
      </c>
      <c r="N23" s="95">
        <f>AVERAGE('Valencia - PIMLE'!L15,'Valencia - PIMLE'!L18)</f>
        <v>1.8059506157515512</v>
      </c>
      <c r="O23" s="109">
        <f>AVERAGE('Valencia - PIMLE'!L16,'Valencia - PIMLE'!L19)</f>
        <v>1.3522046181771845</v>
      </c>
    </row>
    <row r="25" spans="1:15" ht="15.75" thickBot="1" x14ac:dyDescent="0.3"/>
    <row r="26" spans="1:15" ht="15.75" thickBot="1" x14ac:dyDescent="0.3">
      <c r="A26" s="229" t="s">
        <v>55</v>
      </c>
      <c r="B26" s="230"/>
      <c r="C26" s="230"/>
      <c r="D26" s="230"/>
      <c r="E26" s="230"/>
      <c r="F26" s="230"/>
      <c r="G26" s="231"/>
      <c r="I26" s="229" t="s">
        <v>61</v>
      </c>
      <c r="J26" s="230"/>
      <c r="K26" s="230"/>
      <c r="L26" s="230"/>
      <c r="M26" s="230"/>
      <c r="N26" s="230"/>
      <c r="O26" s="231"/>
    </row>
    <row r="27" spans="1:15" x14ac:dyDescent="0.25">
      <c r="A27" s="96"/>
      <c r="B27" s="227" t="s">
        <v>54</v>
      </c>
      <c r="C27" s="235"/>
      <c r="D27" s="229" t="s">
        <v>56</v>
      </c>
      <c r="E27" s="236"/>
      <c r="F27" s="229" t="s">
        <v>57</v>
      </c>
      <c r="G27" s="237"/>
      <c r="I27" s="96"/>
      <c r="J27" s="227" t="s">
        <v>54</v>
      </c>
      <c r="K27" s="235"/>
      <c r="L27" s="229" t="s">
        <v>56</v>
      </c>
      <c r="M27" s="236"/>
      <c r="N27" s="229" t="s">
        <v>57</v>
      </c>
      <c r="O27" s="237"/>
    </row>
    <row r="28" spans="1:15" x14ac:dyDescent="0.25">
      <c r="A28" s="110"/>
      <c r="B28" s="111" t="s">
        <v>59</v>
      </c>
      <c r="C28" s="114" t="s">
        <v>60</v>
      </c>
      <c r="D28" s="111" t="s">
        <v>59</v>
      </c>
      <c r="E28" s="114" t="s">
        <v>60</v>
      </c>
      <c r="F28" s="111" t="s">
        <v>59</v>
      </c>
      <c r="G28" s="112" t="s">
        <v>60</v>
      </c>
      <c r="I28" s="110"/>
      <c r="J28" s="111" t="s">
        <v>59</v>
      </c>
      <c r="K28" s="114" t="s">
        <v>60</v>
      </c>
      <c r="L28" s="111" t="s">
        <v>59</v>
      </c>
      <c r="M28" s="114" t="s">
        <v>60</v>
      </c>
      <c r="N28" s="111" t="s">
        <v>59</v>
      </c>
      <c r="O28" s="112" t="s">
        <v>60</v>
      </c>
    </row>
    <row r="29" spans="1:15" x14ac:dyDescent="0.25">
      <c r="A29" s="232" t="s">
        <v>41</v>
      </c>
      <c r="B29" s="233"/>
      <c r="C29" s="233"/>
      <c r="D29" s="233"/>
      <c r="E29" s="233"/>
      <c r="F29" s="233"/>
      <c r="G29" s="234"/>
      <c r="I29" s="232" t="s">
        <v>41</v>
      </c>
      <c r="J29" s="233"/>
      <c r="K29" s="233"/>
      <c r="L29" s="233"/>
      <c r="M29" s="233"/>
      <c r="N29" s="233"/>
      <c r="O29" s="234"/>
    </row>
    <row r="30" spans="1:15" x14ac:dyDescent="0.25">
      <c r="A30" s="110" t="s">
        <v>42</v>
      </c>
      <c r="B30" s="94">
        <f>AVERAGE('Madrid - PIMLE'!J5:J6)</f>
        <v>11.541566972163626</v>
      </c>
      <c r="C30" s="115">
        <f>AVERAGE('Madrid - PIMLE'!J11:J12)</f>
        <v>10.971254780222107</v>
      </c>
      <c r="D30" s="94">
        <f>AVERAGE('Andalusia - PIMLE'!J5:J6)</f>
        <v>11.248822160564188</v>
      </c>
      <c r="E30" s="91">
        <f>AVERAGE('Andalusia - PIMLE'!J11:J12)</f>
        <v>10.952895415703178</v>
      </c>
      <c r="F30" s="100">
        <f>AVERAGE('Valencia - PIMLE'!J5:J6)</f>
        <v>11.042316762907266</v>
      </c>
      <c r="G30" s="223">
        <f>AVERAGE('Valencia - PIMLE'!J11:J12)</f>
        <v>12.090449570340041</v>
      </c>
      <c r="I30" s="110" t="s">
        <v>42</v>
      </c>
      <c r="J30" s="94">
        <f>AVERAGE('Madrid - PIMLE'!L5:L6)</f>
        <v>10.975307251061034</v>
      </c>
      <c r="K30" s="115">
        <f>AVERAGE('Madrid - PIMLE'!L11:L12)</f>
        <v>10.386706755785035</v>
      </c>
      <c r="L30" s="94">
        <f>AVERAGE('Andalusia - PIMLE'!L5:L6)</f>
        <v>10.140019723846693</v>
      </c>
      <c r="M30" s="91">
        <f>AVERAGE('Andalusia - PIMLE'!L11:L12)</f>
        <v>10.106261893031569</v>
      </c>
      <c r="N30" s="100">
        <f>AVERAGE('Valencia - PIMLE'!L5:L6)</f>
        <v>8.8045124094358869</v>
      </c>
      <c r="O30" s="90">
        <f>AVERAGE('Valencia - PIMLE'!L11:L12)</f>
        <v>9.8716956229199155</v>
      </c>
    </row>
    <row r="31" spans="1:15" x14ac:dyDescent="0.25">
      <c r="A31" s="110" t="s">
        <v>43</v>
      </c>
      <c r="B31" s="100">
        <f>AVERAGE('Madrid - PIMLE'!J7:J8)</f>
        <v>6.9120232444912606</v>
      </c>
      <c r="C31" s="116">
        <f>AVERAGE('Madrid - PIMLE'!J13:J14)</f>
        <v>7.6057585073287513</v>
      </c>
      <c r="D31" s="100">
        <f>AVERAGE('Andalusia - PIMLE'!J7:J8)</f>
        <v>6.5188810061548859</v>
      </c>
      <c r="E31" s="193">
        <f>AVERAGE('Andalusia - PIMLE'!J13:J14)</f>
        <v>7.5073907796848003</v>
      </c>
      <c r="F31" s="100">
        <f>AVERAGE('Valencia - PIMLE'!J7:J8)</f>
        <v>6.5670677277299632</v>
      </c>
      <c r="G31" s="223">
        <f>AVERAGE('Valencia - PIMLE'!J13:J14)</f>
        <v>7.4562473436038754</v>
      </c>
      <c r="I31" s="110" t="s">
        <v>43</v>
      </c>
      <c r="J31" s="100">
        <f>AVERAGE('Madrid - PIMLE'!L7:L8)</f>
        <v>6.3811331778490414</v>
      </c>
      <c r="K31" s="116">
        <f>AVERAGE('Madrid - PIMLE'!L13:L14)</f>
        <v>7.0520897773899023</v>
      </c>
      <c r="L31" s="100">
        <f>AVERAGE('Andalusia - PIMLE'!L7:L8)</f>
        <v>3.5210558705650743</v>
      </c>
      <c r="M31" s="193">
        <f>AVERAGE('Andalusia - PIMLE'!L13:L14)</f>
        <v>5.4232469114662143</v>
      </c>
      <c r="N31" s="100">
        <f>AVERAGE('Valencia - PIMLE'!L7:L8)</f>
        <v>3.676117079377299</v>
      </c>
      <c r="O31" s="225">
        <f>AVERAGE('Valencia - PIMLE'!L13:L14)</f>
        <v>5.1479251972278899</v>
      </c>
    </row>
    <row r="32" spans="1:15" x14ac:dyDescent="0.25">
      <c r="A32" s="110" t="s">
        <v>44</v>
      </c>
      <c r="B32" s="94">
        <f>AVERAGE('Madrid - PIMLE'!J3:J4)</f>
        <v>3.9849687960067639</v>
      </c>
      <c r="C32" s="91">
        <f>AVERAGE('Madrid - PIMLE'!J9:J10)</f>
        <v>3.509002904609118</v>
      </c>
      <c r="D32" s="94">
        <f>AVERAGE('Andalusia - PIMLE'!J3:J4)</f>
        <v>4.3039200731809188</v>
      </c>
      <c r="E32" s="91">
        <f>AVERAGE('Andalusia - PIMLE'!J9:J10)</f>
        <v>3.5688168072472468</v>
      </c>
      <c r="F32" s="94">
        <f>AVERAGE('Valencia - PIMLE'!J3:J4)</f>
        <v>4.2841879962516582</v>
      </c>
      <c r="G32" s="224">
        <f>AVERAGE('Valencia - PIMLE'!J9:J10)</f>
        <v>4.2537369894392389</v>
      </c>
      <c r="I32" s="110" t="s">
        <v>44</v>
      </c>
      <c r="J32" s="94">
        <f>AVERAGE('Madrid - PIMLE'!L3:L4)</f>
        <v>3.4115249133553762</v>
      </c>
      <c r="K32" s="91">
        <f>AVERAGE('Madrid - PIMLE'!L9:L10)</f>
        <v>2.9717521473242123</v>
      </c>
      <c r="L32" s="94">
        <f>AVERAGE('Andalusia - PIMLE'!L3:L4)</f>
        <v>1.9030088767961277</v>
      </c>
      <c r="M32" s="91">
        <f>AVERAGE('Andalusia - PIMLE'!L9,'Andalusia - PIMLE'!L10)</f>
        <v>0.86974858982837144</v>
      </c>
      <c r="N32" s="100">
        <f>AVERAGE('Valencia - PIMLE'!L3:L4)</f>
        <v>1.3450606036579418</v>
      </c>
      <c r="O32" s="101">
        <f>AVERAGE('Valencia - PIMLE'!L9:L10)</f>
        <v>1.4341998636302804</v>
      </c>
    </row>
    <row r="33" spans="1:15" x14ac:dyDescent="0.25">
      <c r="A33" s="232" t="s">
        <v>45</v>
      </c>
      <c r="B33" s="233"/>
      <c r="C33" s="233"/>
      <c r="D33" s="233"/>
      <c r="E33" s="233"/>
      <c r="F33" s="233"/>
      <c r="G33" s="234"/>
      <c r="I33" s="232" t="s">
        <v>45</v>
      </c>
      <c r="J33" s="233"/>
      <c r="K33" s="233"/>
      <c r="L33" s="233"/>
      <c r="M33" s="233"/>
      <c r="N33" s="233"/>
      <c r="O33" s="234"/>
    </row>
    <row r="34" spans="1:15" x14ac:dyDescent="0.25">
      <c r="A34" s="110" t="s">
        <v>43</v>
      </c>
      <c r="B34" s="94">
        <f>AVERAGE('Madrid - PIMLE'!J17:J18)</f>
        <v>3.1083734827564298</v>
      </c>
      <c r="C34" s="190">
        <f>'Madrid - PIMLE'!J21</f>
        <v>4.7491051788731742</v>
      </c>
      <c r="D34" s="108">
        <f>AVERAGE('Andalusia - PIMLE'!J17)</f>
        <v>3.4793677586596106</v>
      </c>
      <c r="E34" s="118" t="s">
        <v>58</v>
      </c>
      <c r="F34" s="108">
        <f>AVERAGE('Valencia - PIMLE'!J17)</f>
        <v>3.9902380881345909</v>
      </c>
      <c r="G34" s="117" t="s">
        <v>58</v>
      </c>
      <c r="I34" s="110" t="s">
        <v>43</v>
      </c>
      <c r="J34" s="167">
        <f>AVERAGE('Madrid - PIMLE'!L17:L18)</f>
        <v>2.5625566371396529</v>
      </c>
      <c r="K34" s="194">
        <v>4.38</v>
      </c>
      <c r="L34" s="168">
        <f>AVERAGE('Andalusia - PIMLE'!L17)</f>
        <v>1.2107848694132268</v>
      </c>
      <c r="M34" s="118" t="s">
        <v>58</v>
      </c>
      <c r="N34" s="108">
        <f>AVERAGE('Valencia - PIMLE'!L17)</f>
        <v>2.4811287753762397</v>
      </c>
      <c r="O34" s="117" t="s">
        <v>58</v>
      </c>
    </row>
    <row r="35" spans="1:15" ht="15.75" thickBot="1" x14ac:dyDescent="0.3">
      <c r="A35" s="113" t="s">
        <v>44</v>
      </c>
      <c r="B35" s="95">
        <f>AVERAGE('Madrid - PIMLE'!J15:J16)</f>
        <v>4.1421133251297757</v>
      </c>
      <c r="C35" s="92">
        <f>AVERAGE('Madrid - PIMLE'!J19:J20)</f>
        <v>3.4207237355861477</v>
      </c>
      <c r="D35" s="95">
        <f>AVERAGE('Andalusia - PIMLE'!J15:J16)</f>
        <v>4.1716419323210276</v>
      </c>
      <c r="E35" s="92">
        <f>AVERAGE('Andalusia - PIMLE'!J18:J19)</f>
        <v>2.9680542524888258</v>
      </c>
      <c r="F35" s="95">
        <f>AVERAGE('Valencia - PIMLE'!J15:J16)</f>
        <v>3.8232729066966926</v>
      </c>
      <c r="G35" s="106">
        <f>AVERAGE('Valencia - PIMLE'!J18:J19)</f>
        <v>3.8040434266880618</v>
      </c>
      <c r="I35" s="113" t="s">
        <v>44</v>
      </c>
      <c r="J35" s="95">
        <f>AVERAGE('Madrid - PIMLE'!L15:L16)</f>
        <v>3.6086825297071501</v>
      </c>
      <c r="K35" s="92">
        <f>AVERAGE('Madrid - PIMLE'!L19:L20)</f>
        <v>2.9728621718512485</v>
      </c>
      <c r="L35" s="95">
        <f>AVERAGE('Andalusia - PIMLE'!L15:L16)</f>
        <v>1.8602260852849586</v>
      </c>
      <c r="M35" s="92">
        <f>AVERAGE('Andalusia - PIMLE'!L18:L19)</f>
        <v>1.3573601980246117</v>
      </c>
      <c r="N35" s="169">
        <f>AVERAGE('Valencia - PIMLE'!L15:L16)</f>
        <v>1.3707580072231431</v>
      </c>
      <c r="O35" s="106">
        <f>AVERAGE('Valencia - PIMLE'!L18:L19)</f>
        <v>1.7873972267055929</v>
      </c>
    </row>
    <row r="37" spans="1:15" ht="15.75" thickBot="1" x14ac:dyDescent="0.3"/>
    <row r="38" spans="1:15" ht="15.75" thickBot="1" x14ac:dyDescent="0.3">
      <c r="A38" s="238" t="s">
        <v>55</v>
      </c>
      <c r="B38" s="239"/>
      <c r="C38" s="239"/>
      <c r="D38" s="240"/>
      <c r="I38" s="238" t="s">
        <v>61</v>
      </c>
      <c r="J38" s="239"/>
      <c r="K38" s="239"/>
      <c r="L38" s="240"/>
    </row>
    <row r="39" spans="1:15" x14ac:dyDescent="0.25">
      <c r="A39" s="96" t="s">
        <v>62</v>
      </c>
      <c r="B39" s="172" t="s">
        <v>54</v>
      </c>
      <c r="C39" s="173" t="s">
        <v>56</v>
      </c>
      <c r="D39" s="174" t="s">
        <v>57</v>
      </c>
      <c r="I39" s="96" t="s">
        <v>62</v>
      </c>
      <c r="J39" s="172" t="s">
        <v>54</v>
      </c>
      <c r="K39" s="173" t="s">
        <v>56</v>
      </c>
      <c r="L39" s="174" t="s">
        <v>57</v>
      </c>
    </row>
    <row r="40" spans="1:15" x14ac:dyDescent="0.25">
      <c r="A40" s="232" t="s">
        <v>41</v>
      </c>
      <c r="B40" s="233"/>
      <c r="C40" s="233"/>
      <c r="D40" s="234"/>
      <c r="I40" s="232" t="s">
        <v>41</v>
      </c>
      <c r="J40" s="233"/>
      <c r="K40" s="233"/>
      <c r="L40" s="234"/>
    </row>
    <row r="41" spans="1:15" x14ac:dyDescent="0.25">
      <c r="A41" s="175" t="s">
        <v>42</v>
      </c>
      <c r="B41" s="94">
        <f>AVERAGE('Madrid - PIMLE'!J5:J6,'Madrid - PIMLE'!J11:J12)</f>
        <v>11.256410876192867</v>
      </c>
      <c r="C41" s="94">
        <f>AVERAGE('Andalusia - PIMLE'!J5:J6,'Andalusia - PIMLE'!J11:J12)</f>
        <v>11.100858788133683</v>
      </c>
      <c r="D41" s="170">
        <f>AVERAGE('Valencia - PIMLE'!J5:J6,'Valencia - PIMLE'!J11:J12)</f>
        <v>11.566383166623654</v>
      </c>
      <c r="I41" s="175" t="s">
        <v>42</v>
      </c>
      <c r="J41" s="94">
        <f>AVERAGE('Madrid - PIMLE'!L5:L6,'Madrid - PIMLE'!L11:L12)</f>
        <v>10.681007003423034</v>
      </c>
      <c r="K41" s="94">
        <f>AVERAGE('Andalusia - PIMLE'!L5:L6,'Andalusia - PIMLE'!L11:L12)</f>
        <v>10.123140808439132</v>
      </c>
      <c r="L41" s="170">
        <f>AVERAGE('Valencia - PIMLE'!L5:L6,'Valencia - PIMLE'!L11:L12)</f>
        <v>9.3381040161779012</v>
      </c>
    </row>
    <row r="42" spans="1:15" x14ac:dyDescent="0.25">
      <c r="A42" s="175" t="s">
        <v>43</v>
      </c>
      <c r="B42" s="94">
        <f>AVERAGE('Madrid - PIMLE'!J7:J8,'Madrid - PIMLE'!J13:J14)</f>
        <v>7.2588908759100068</v>
      </c>
      <c r="C42" s="94">
        <f>AVERAGE('Andalusia - PIMLE'!J7:J8,'Andalusia - PIMLE'!J13:J14)</f>
        <v>7.0131358929198431</v>
      </c>
      <c r="D42" s="170">
        <f>AVERAGE('Valencia - PIMLE'!J7:J8,'Valencia - PIMLE'!J13:J14)</f>
        <v>7.0116575356669202</v>
      </c>
      <c r="I42" s="175" t="s">
        <v>43</v>
      </c>
      <c r="J42" s="94">
        <f>AVERAGE('Madrid - PIMLE'!L7:L8,'Madrid - PIMLE'!L13:L14)</f>
        <v>6.7166114776194714</v>
      </c>
      <c r="K42" s="94">
        <f>AVERAGE('Andalusia - PIMLE'!L7:L8,'Andalusia - PIMLE'!L13:L14)</f>
        <v>4.4721513910156441</v>
      </c>
      <c r="L42" s="170">
        <f>AVERAGE('Valencia - PIMLE'!L7:L8,'Valencia - PIMLE'!L13:L14)</f>
        <v>4.4120211383025945</v>
      </c>
    </row>
    <row r="43" spans="1:15" x14ac:dyDescent="0.25">
      <c r="A43" s="175" t="s">
        <v>44</v>
      </c>
      <c r="B43" s="167">
        <f>AVERAGE('Madrid - PIMLE'!J3:J4,'Madrid - PIMLE'!J9:J10)</f>
        <v>3.746985850307941</v>
      </c>
      <c r="C43" s="167">
        <f>AVERAGE('Andalusia - PIMLE'!J3:J4,'Andalusia - PIMLE'!J9:J10)</f>
        <v>3.9363684402140828</v>
      </c>
      <c r="D43" s="178">
        <f>AVERAGE('Valencia - PIMLE'!J3:J4,'Valencia - PIMLE'!J9:J10)</f>
        <v>4.2689624928454482</v>
      </c>
      <c r="I43" s="175" t="s">
        <v>44</v>
      </c>
      <c r="J43" s="167">
        <f>AVERAGE('Madrid - PIMLE'!L3:L4,'Madrid - PIMLE'!L9:L10)</f>
        <v>3.1916385303397941</v>
      </c>
      <c r="K43" s="167">
        <f>AVERAGE('Andalusia - PIMLE'!L3:L4,'Andalusia - PIMLE'!L9:L10)</f>
        <v>1.3863787333122495</v>
      </c>
      <c r="L43" s="178">
        <f>AVERAGE('Valencia - PIMLE'!L3:L4,'Valencia - PIMLE'!L9:L10)</f>
        <v>1.3896302336441111</v>
      </c>
    </row>
    <row r="44" spans="1:15" x14ac:dyDescent="0.25">
      <c r="A44" s="232" t="s">
        <v>45</v>
      </c>
      <c r="B44" s="233"/>
      <c r="C44" s="233"/>
      <c r="D44" s="234"/>
      <c r="I44" s="232" t="s">
        <v>45</v>
      </c>
      <c r="J44" s="233"/>
      <c r="K44" s="233"/>
      <c r="L44" s="234"/>
    </row>
    <row r="45" spans="1:15" x14ac:dyDescent="0.25">
      <c r="A45" s="175" t="s">
        <v>43</v>
      </c>
      <c r="B45" s="167">
        <f>AVERAGE('Madrid - PIMLE'!J17:J18)</f>
        <v>3.1083734827564298</v>
      </c>
      <c r="C45" s="177">
        <f>AVERAGE('Andalusia - PIMLE'!J17)</f>
        <v>3.4793677586596106</v>
      </c>
      <c r="D45" s="170">
        <f>AVERAGE('Valencia - PIMLE'!J17)</f>
        <v>3.9902380881345909</v>
      </c>
      <c r="I45" s="175" t="s">
        <v>43</v>
      </c>
      <c r="J45" s="167">
        <f>AVERAGE('Madrid - PIMLE'!L17:L18,'Madrid - PIMLE'!L21)</f>
        <v>3.1675946292482915</v>
      </c>
      <c r="K45" s="177">
        <f>AVERAGE('Andalusia - PIMLE'!L17)</f>
        <v>1.2107848694132268</v>
      </c>
      <c r="L45" s="170">
        <f>AVERAGE('Valencia - PIMLE'!L17)</f>
        <v>2.4811287753762397</v>
      </c>
    </row>
    <row r="46" spans="1:15" ht="15.75" thickBot="1" x14ac:dyDescent="0.3">
      <c r="A46" s="176" t="s">
        <v>44</v>
      </c>
      <c r="B46" s="95">
        <f>AVERAGE('Madrid - PIMLE'!J15:J16,'Madrid - PIMLE'!J19:J20)</f>
        <v>3.7814185303579615</v>
      </c>
      <c r="C46" s="95">
        <f>AVERAGE('Andalusia - PIMLE'!J15:J16,'Andalusia - PIMLE'!J18:J19)</f>
        <v>3.5698480924049267</v>
      </c>
      <c r="D46" s="171">
        <f>AVERAGE('Valencia - PIMLE'!J15:J16,'Valencia - PIMLE'!J18:J19)</f>
        <v>3.8136581666923774</v>
      </c>
      <c r="I46" s="176" t="s">
        <v>44</v>
      </c>
      <c r="J46" s="95">
        <f>AVERAGE('Madrid - PIMLE'!L15:L16,'Madrid - PIMLE'!L19:L20)</f>
        <v>3.2907723507791995</v>
      </c>
      <c r="K46" s="95">
        <f>AVERAGE('Andalusia - PIMLE'!L15:L16,'Andalusia - PIMLE'!L18:L19)</f>
        <v>1.6087931416547852</v>
      </c>
      <c r="L46" s="171">
        <f>AVERAGE('Valencia - PIMLE'!L15:L16,'Valencia - PIMLE'!L18:L19)</f>
        <v>1.5790776169643679</v>
      </c>
    </row>
    <row r="51" spans="3:3" x14ac:dyDescent="0.25">
      <c r="C51" t="s">
        <v>50</v>
      </c>
    </row>
  </sheetData>
  <mergeCells count="32">
    <mergeCell ref="A38:D38"/>
    <mergeCell ref="A40:D40"/>
    <mergeCell ref="A44:D44"/>
    <mergeCell ref="I38:L38"/>
    <mergeCell ref="I40:L40"/>
    <mergeCell ref="I44:L44"/>
    <mergeCell ref="I29:O29"/>
    <mergeCell ref="I33:O33"/>
    <mergeCell ref="I21:O21"/>
    <mergeCell ref="I26:O26"/>
    <mergeCell ref="J27:K27"/>
    <mergeCell ref="L27:M27"/>
    <mergeCell ref="N27:O27"/>
    <mergeCell ref="I14:O14"/>
    <mergeCell ref="J15:K15"/>
    <mergeCell ref="L15:M15"/>
    <mergeCell ref="N15:O15"/>
    <mergeCell ref="I17:O17"/>
    <mergeCell ref="A29:G29"/>
    <mergeCell ref="A33:G33"/>
    <mergeCell ref="A17:G17"/>
    <mergeCell ref="A21:G21"/>
    <mergeCell ref="A26:G26"/>
    <mergeCell ref="B27:C27"/>
    <mergeCell ref="D27:E27"/>
    <mergeCell ref="F27:G27"/>
    <mergeCell ref="A1:C1"/>
    <mergeCell ref="E1:G1"/>
    <mergeCell ref="B15:C15"/>
    <mergeCell ref="D15:E15"/>
    <mergeCell ref="F15:G15"/>
    <mergeCell ref="A14:G14"/>
  </mergeCells>
  <pageMargins left="0.7" right="0.7" top="0.75" bottom="0.75" header="0.3" footer="0.3"/>
  <ignoredErrors>
    <ignoredError sqref="F4 F5:G5 F6:G6 C30 B31:C32 B30 B35:C35 D30:E30 D35:G35 F30 B34 D32 D31 F32 F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E8F4-E4E0-4A4C-B026-97CAE0BD82B1}">
  <dimension ref="A1:O46"/>
  <sheetViews>
    <sheetView zoomScale="115" zoomScaleNormal="115" workbookViewId="0">
      <selection activeCell="N25" sqref="N25"/>
    </sheetView>
  </sheetViews>
  <sheetFormatPr baseColWidth="10" defaultRowHeight="15" x14ac:dyDescent="0.25"/>
  <cols>
    <col min="1" max="1" width="44.140625" customWidth="1"/>
    <col min="9" max="9" width="14.140625" customWidth="1"/>
    <col min="10" max="11" width="13.85546875" customWidth="1"/>
    <col min="12" max="12" width="13.28515625" customWidth="1"/>
  </cols>
  <sheetData>
    <row r="1" spans="1:15" ht="15.75" thickBot="1" x14ac:dyDescent="0.3">
      <c r="A1" s="28" t="s">
        <v>25</v>
      </c>
      <c r="B1" s="30" t="s">
        <v>0</v>
      </c>
      <c r="C1" s="120" t="s">
        <v>1</v>
      </c>
      <c r="D1" s="120" t="s">
        <v>2</v>
      </c>
      <c r="E1" s="120" t="s">
        <v>3</v>
      </c>
      <c r="F1" s="31" t="s">
        <v>68</v>
      </c>
      <c r="G1" s="30" t="s">
        <v>70</v>
      </c>
      <c r="H1" s="120" t="s">
        <v>71</v>
      </c>
      <c r="I1" s="120" t="s">
        <v>72</v>
      </c>
      <c r="J1" s="31" t="s">
        <v>73</v>
      </c>
      <c r="K1" s="241" t="s">
        <v>69</v>
      </c>
      <c r="L1" s="242"/>
    </row>
    <row r="2" spans="1:15" x14ac:dyDescent="0.25">
      <c r="A2" s="46" t="s">
        <v>33</v>
      </c>
      <c r="B2" s="138">
        <v>39.200000000000003</v>
      </c>
      <c r="C2" s="2">
        <v>27.6</v>
      </c>
      <c r="D2" s="2">
        <v>14.6</v>
      </c>
      <c r="E2" s="2">
        <v>14.7</v>
      </c>
      <c r="F2" s="139">
        <v>3.8</v>
      </c>
      <c r="G2" s="32">
        <f>AVERAGE((B2-$B$22)^2, (C2-$C$22)^2, (D2-$D$22)^2, (E2-$E$22)^2)</f>
        <v>0.46500000000000008</v>
      </c>
      <c r="H2" s="8">
        <f>SQRT(G2)</f>
        <v>0.6819090848492928</v>
      </c>
      <c r="I2" s="8">
        <v>0.53400000000000003</v>
      </c>
      <c r="J2" s="33">
        <v>0.73075303625780441</v>
      </c>
      <c r="K2" s="120" t="s">
        <v>72</v>
      </c>
      <c r="L2" s="31" t="s">
        <v>73</v>
      </c>
    </row>
    <row r="3" spans="1:15" x14ac:dyDescent="0.25">
      <c r="A3" s="48" t="s">
        <v>4</v>
      </c>
      <c r="B3" s="67">
        <v>34.1</v>
      </c>
      <c r="C3" s="4">
        <v>25</v>
      </c>
      <c r="D3" s="4">
        <v>16.8</v>
      </c>
      <c r="E3" s="4">
        <v>16.399999999999999</v>
      </c>
      <c r="F3" s="140">
        <v>7.8</v>
      </c>
      <c r="G3" s="121">
        <f>AVERAGE((B3-$B$22)^2, (C3-$C$22)^2, (D3-$D$22)^2, (E3-$E$22)^2)</f>
        <v>13.530000000000003</v>
      </c>
      <c r="H3" s="6">
        <f>SQRT(G3)</f>
        <v>3.6783148315499048</v>
      </c>
      <c r="I3" s="13">
        <f>AVERAGE((B3-$B$22)^2,(C3-$C$22)^2,(D3-$D$22)^2,(E3-$E$22)^2,(F3-$F$22)^2)</f>
        <v>15.626000000000005</v>
      </c>
      <c r="J3" s="122">
        <f>SQRT(I3)</f>
        <v>3.9529735642930888</v>
      </c>
      <c r="K3" s="121">
        <f>AVERAGE((B3-$B$2)^2,(C3-$C$2)^2,(D3-$D$2)^2,(E3-$E$2)^2,(F3-$F$2)^2)</f>
        <v>11.300000000000006</v>
      </c>
      <c r="L3" s="122">
        <f>SQRT(K3)</f>
        <v>3.361547262794323</v>
      </c>
      <c r="O3" t="s">
        <v>50</v>
      </c>
    </row>
    <row r="4" spans="1:15" x14ac:dyDescent="0.25">
      <c r="A4" s="48" t="s">
        <v>5</v>
      </c>
      <c r="B4" s="67">
        <v>33.9</v>
      </c>
      <c r="C4" s="4">
        <v>24.9</v>
      </c>
      <c r="D4" s="4">
        <v>16.399999999999999</v>
      </c>
      <c r="E4" s="4">
        <v>17</v>
      </c>
      <c r="F4" s="140">
        <v>7.8</v>
      </c>
      <c r="G4" s="121">
        <f>AVERAGE((B4-$B$22)^2, (C4-$C$22)^2, (D4-$D$22)^2, (E4-$E$22)^2)</f>
        <v>14.167500000000013</v>
      </c>
      <c r="H4" s="6">
        <f t="shared" ref="H4:H20" si="0">SQRT(G4)</f>
        <v>3.7639739637781786</v>
      </c>
      <c r="I4" s="13">
        <f>AVERAGE((B4-$B$22)^2,(C4-$C$22)^2,(D4-$D$22)^2,(E4-$E$22)^2,(F4-$F$22)^2)</f>
        <v>16.136000000000013</v>
      </c>
      <c r="J4" s="122">
        <f t="shared" ref="J4:J20" si="1">SQRT(I4)</f>
        <v>4.016964027720439</v>
      </c>
      <c r="K4" s="121">
        <f>AVERAGE((B4-$B$2)^2,(C4-$C$2)^2,(D4-$D$2)^2,(E4-$E$2)^2,(F4-$F$2)^2)</f>
        <v>11.982000000000012</v>
      </c>
      <c r="L4" s="122">
        <f t="shared" ref="L4:L22" si="2">SQRT(K4)</f>
        <v>3.461502563916429</v>
      </c>
    </row>
    <row r="5" spans="1:15" x14ac:dyDescent="0.25">
      <c r="A5" s="48" t="s">
        <v>6</v>
      </c>
      <c r="B5" s="67">
        <v>25</v>
      </c>
      <c r="C5" s="4">
        <v>33.1</v>
      </c>
      <c r="D5" s="4">
        <v>11.3</v>
      </c>
      <c r="E5" s="4">
        <v>9.8000000000000007</v>
      </c>
      <c r="F5" s="140">
        <v>20.7</v>
      </c>
      <c r="G5" s="121">
        <f>AVERAGE((B5-$B$22)^2, (C5-$C$22)^2, (D5-$D$22)^2, (E5-$E$22)^2)</f>
        <v>74.302500000000023</v>
      </c>
      <c r="H5" s="6">
        <f t="shared" si="0"/>
        <v>8.6198897904787639</v>
      </c>
      <c r="I5" s="13">
        <f>AVERAGE((B5-$B$22)^2,(C5-$C$22)^2,(D5-$D$22)^2,(E5-$E$22)^2,(F5-$F$22)^2)</f>
        <v>122.81000000000003</v>
      </c>
      <c r="J5" s="122">
        <f t="shared" si="1"/>
        <v>11.081967334368029</v>
      </c>
      <c r="K5" s="121">
        <f>AVERAGE((B5-$B$2)^2,(C5-$C$2)^2,(D5-$D$2)^2,(E5-$E$2)^2,(F5-$F$2)^2)</f>
        <v>110.47999999999999</v>
      </c>
      <c r="L5" s="122">
        <f t="shared" si="2"/>
        <v>10.510946674776729</v>
      </c>
    </row>
    <row r="6" spans="1:15" x14ac:dyDescent="0.25">
      <c r="A6" s="48" t="s">
        <v>7</v>
      </c>
      <c r="B6" s="67">
        <v>24.4</v>
      </c>
      <c r="C6" s="4">
        <v>34.9</v>
      </c>
      <c r="D6" s="4">
        <v>10.8</v>
      </c>
      <c r="E6" s="4">
        <v>8.1</v>
      </c>
      <c r="F6" s="140">
        <v>21.8</v>
      </c>
      <c r="G6" s="121">
        <f>AVERAGE((B6-$B$22)^2, (C6-$C$22)^2, (D6-$D$22)^2, (E6-$E$22)^2)</f>
        <v>90.732500000000044</v>
      </c>
      <c r="H6" s="6">
        <f t="shared" si="0"/>
        <v>9.5253608855517928</v>
      </c>
      <c r="I6" s="13">
        <f>AVERAGE((B6-$B$22)^2,(C6-$C$22)^2,(D6-$D$22)^2,(E6-$E$22)^2,(F6-$F$22)^2)</f>
        <v>144.02800000000008</v>
      </c>
      <c r="J6" s="122">
        <f t="shared" si="1"/>
        <v>12.00116660995922</v>
      </c>
      <c r="K6" s="121">
        <f>AVERAGE((B6-$B$2)^2,(C6-$C$2)^2,(D6-$D$2)^2,(E6-$E$2)^2,(F6-$F$2)^2)</f>
        <v>130.86600000000004</v>
      </c>
      <c r="L6" s="122">
        <f t="shared" si="2"/>
        <v>11.439667827345339</v>
      </c>
    </row>
    <row r="7" spans="1:15" x14ac:dyDescent="0.25">
      <c r="A7" s="48" t="s">
        <v>8</v>
      </c>
      <c r="B7" s="67">
        <v>32.799999999999997</v>
      </c>
      <c r="C7" s="4">
        <v>25.6</v>
      </c>
      <c r="D7" s="4">
        <v>13.3</v>
      </c>
      <c r="E7" s="4">
        <v>13.5</v>
      </c>
      <c r="F7" s="140">
        <v>14.8</v>
      </c>
      <c r="G7" s="121">
        <f>AVERAGE((B7-$B$22)^2, (C7-$C$22)^2, (D7-$D$22)^2, (E7-$E$22)^2)</f>
        <v>15.692500000000019</v>
      </c>
      <c r="H7" s="6">
        <f t="shared" si="0"/>
        <v>3.9613760235554536</v>
      </c>
      <c r="I7" s="13">
        <f>AVERAGE((B7-$B$22)^2,(C7-$C$22)^2,(D7-$D$22)^2,(E7-$E$22)^2,(F7-$F$22)^2)</f>
        <v>40.876000000000019</v>
      </c>
      <c r="J7" s="122">
        <f t="shared" si="1"/>
        <v>6.3934341319825938</v>
      </c>
      <c r="K7" s="121">
        <f>AVERAGE((B7-$B$2)^2,(C7-$C$2)^2,(D7-$D$2)^2,(E7-$E$2)^2,(F7-$F$2)^2)</f>
        <v>33.818000000000012</v>
      </c>
      <c r="L7" s="122">
        <f t="shared" si="2"/>
        <v>5.8153245825147204</v>
      </c>
    </row>
    <row r="8" spans="1:15" x14ac:dyDescent="0.25">
      <c r="A8" s="48" t="s">
        <v>9</v>
      </c>
      <c r="B8" s="67">
        <v>28.8</v>
      </c>
      <c r="C8" s="4">
        <v>27.6</v>
      </c>
      <c r="D8" s="4">
        <v>11.4</v>
      </c>
      <c r="E8" s="4">
        <v>17.600000000000001</v>
      </c>
      <c r="F8" s="140">
        <v>14.5</v>
      </c>
      <c r="G8" s="121">
        <f>AVERAGE((B8-$B$22)^2, (C8-$C$22)^2, (D8-$D$22)^2, (E8-$E$22)^2)</f>
        <v>35.377500000000005</v>
      </c>
      <c r="H8" s="6">
        <f t="shared" si="0"/>
        <v>5.9478987886479713</v>
      </c>
      <c r="I8" s="13">
        <f>AVERAGE((B8-$B$22)^2,(C8-$C$22)^2,(D8-$D$22)^2,(E8-$E$22)^2,(F8-$F$22)^2)</f>
        <v>55.214000000000013</v>
      </c>
      <c r="J8" s="122">
        <f t="shared" si="1"/>
        <v>7.4306123569999274</v>
      </c>
      <c r="K8" s="121">
        <f>AVERAGE((B8-$B$2)^2,(C8-$C$2)^2,(D8-$D$2)^2,(E8-$E$2)^2,(F8-$F$2)^2)</f>
        <v>48.260000000000005</v>
      </c>
      <c r="L8" s="122">
        <f t="shared" si="2"/>
        <v>6.9469417731833625</v>
      </c>
      <c r="O8" t="s">
        <v>50</v>
      </c>
    </row>
    <row r="9" spans="1:15" x14ac:dyDescent="0.25">
      <c r="A9" s="135" t="s">
        <v>34</v>
      </c>
      <c r="B9" s="76">
        <v>36.6</v>
      </c>
      <c r="C9" s="27">
        <v>23.4</v>
      </c>
      <c r="D9" s="27">
        <v>16.7</v>
      </c>
      <c r="E9" s="27">
        <v>15.3</v>
      </c>
      <c r="F9" s="141">
        <v>7.9</v>
      </c>
      <c r="G9" s="123">
        <f>AVERAGE((B9-$B$22)^2, (C9-$C$22)^2, (D9-$D$22)^2, (E9-$E$22)^2)</f>
        <v>9.8225000000000033</v>
      </c>
      <c r="H9" s="180">
        <f t="shared" si="0"/>
        <v>3.1340867888429642</v>
      </c>
      <c r="I9" s="179">
        <f>AVERAGE((B9-$B$22)^2,(C9-$C$22)^2,(D9-$D$22)^2,(E9-$E$22)^2,(F9-$F$22)^2)</f>
        <v>12.858000000000004</v>
      </c>
      <c r="J9" s="124">
        <f t="shared" si="1"/>
        <v>3.5858053488721335</v>
      </c>
      <c r="K9" s="123">
        <f>AVERAGE((B9-$B$2)^2,(C9-$C$2)^2,(D9-$D$2)^2,(E9-$E$2)^2,(F9-$F$2)^2)</f>
        <v>9.1960000000000086</v>
      </c>
      <c r="L9" s="124">
        <f t="shared" si="2"/>
        <v>3.0324907254598501</v>
      </c>
    </row>
    <row r="10" spans="1:15" x14ac:dyDescent="0.25">
      <c r="A10" s="136" t="s">
        <v>27</v>
      </c>
      <c r="B10" s="142">
        <v>37.4</v>
      </c>
      <c r="C10" s="16">
        <v>23.1</v>
      </c>
      <c r="D10" s="16">
        <v>17</v>
      </c>
      <c r="E10" s="16">
        <v>15.1</v>
      </c>
      <c r="F10" s="143">
        <v>7.4</v>
      </c>
      <c r="G10" s="125">
        <f>AVERAGE((B10-$B$22)^2, (C10-$C$22)^2, (D10-$D$22)^2, (E10-$E$22)^2)</f>
        <v>9.6624999999999996</v>
      </c>
      <c r="H10" s="10">
        <f t="shared" si="0"/>
        <v>3.1084562084739105</v>
      </c>
      <c r="I10" s="19">
        <f>AVERAGE((B10-$B$22)^2,(C10-$C$22)^2,(D10-$D$22)^2,(E10-$E$22)^2,(F10-$F$22)^2)</f>
        <v>11.78</v>
      </c>
      <c r="J10" s="126">
        <f t="shared" si="1"/>
        <v>3.4322004603461025</v>
      </c>
      <c r="K10" s="125">
        <f>AVERAGE((B10-$B$2)^2,(C10-$C$2)^2,(D10-$D$2)^2,(E10-$E$2)^2,(F10-$F$2)^2)</f>
        <v>8.4740000000000038</v>
      </c>
      <c r="L10" s="126">
        <f t="shared" si="2"/>
        <v>2.9110135691885746</v>
      </c>
    </row>
    <row r="11" spans="1:15" x14ac:dyDescent="0.25">
      <c r="A11" s="137" t="s">
        <v>28</v>
      </c>
      <c r="B11" s="67">
        <v>28.9</v>
      </c>
      <c r="C11" s="4">
        <v>33.200000000000003</v>
      </c>
      <c r="D11" s="4">
        <v>12.3</v>
      </c>
      <c r="E11" s="4">
        <v>5.4</v>
      </c>
      <c r="F11" s="140">
        <v>20.3</v>
      </c>
      <c r="G11" s="121">
        <f>AVERAGE((B11-$B$22)^2, (C11-$C$22)^2, (D11-$D$22)^2, (E11-$E$22)^2)</f>
        <v>64.62750000000004</v>
      </c>
      <c r="H11" s="6">
        <f t="shared" si="0"/>
        <v>8.0391230865063914</v>
      </c>
      <c r="I11" s="13">
        <f>AVERAGE((B11-$B$22)^2,(C11-$C$22)^2,(D11-$D$22)^2,(E11-$E$22)^2,(F11-$F$22)^2)</f>
        <v>112.25400000000005</v>
      </c>
      <c r="J11" s="122">
        <f t="shared" si="1"/>
        <v>10.594998820198143</v>
      </c>
      <c r="K11" s="121">
        <f>AVERAGE((B11-$B$2)^2,(C11-$C$2)^2,(D11-$D$2)^2,(E11-$E$2)^2,(F11-$F$2)^2)</f>
        <v>100.29600000000002</v>
      </c>
      <c r="L11" s="122">
        <f t="shared" si="2"/>
        <v>10.014789064179036</v>
      </c>
    </row>
    <row r="12" spans="1:15" x14ac:dyDescent="0.25">
      <c r="A12" s="137" t="s">
        <v>29</v>
      </c>
      <c r="B12" s="67">
        <v>27.8</v>
      </c>
      <c r="C12" s="4">
        <v>32.200000000000003</v>
      </c>
      <c r="D12" s="4">
        <v>12.1</v>
      </c>
      <c r="E12" s="4">
        <v>5.6</v>
      </c>
      <c r="F12" s="140">
        <v>22.2</v>
      </c>
      <c r="G12" s="121">
        <f>AVERAGE((B12-$B$22)^2, (C12-$C$22)^2, (D12-$D$22)^2, (E12-$E$22)^2)</f>
        <v>67.835000000000022</v>
      </c>
      <c r="H12" s="6">
        <f t="shared" si="0"/>
        <v>8.2362005803647129</v>
      </c>
      <c r="I12" s="13">
        <f>AVERAGE((B12-$B$22)^2,(C12-$C$22)^2,(D12-$D$22)^2,(E12-$E$22)^2,(F12-$F$22)^2)</f>
        <v>128.76600000000002</v>
      </c>
      <c r="J12" s="122">
        <f t="shared" si="1"/>
        <v>11.347510740246074</v>
      </c>
      <c r="K12" s="121">
        <f>AVERAGE((B12-$B$2)^2,(C12-$C$2)^2,(D12-$D$2)^2,(E12-$E$2)^2,(F12-$F$2)^2)</f>
        <v>115.748</v>
      </c>
      <c r="L12" s="122">
        <f t="shared" si="2"/>
        <v>10.758624447391032</v>
      </c>
    </row>
    <row r="13" spans="1:15" x14ac:dyDescent="0.25">
      <c r="A13" s="137" t="s">
        <v>35</v>
      </c>
      <c r="B13" s="67">
        <v>30.2</v>
      </c>
      <c r="C13" s="4">
        <v>25.8</v>
      </c>
      <c r="D13" s="4">
        <v>12.9</v>
      </c>
      <c r="E13" s="4">
        <v>15.4</v>
      </c>
      <c r="F13" s="140">
        <v>15.7</v>
      </c>
      <c r="G13" s="121">
        <f>AVERAGE((B13-$B$22)^2, (C13-$C$22)^2, (D13-$D$22)^2, (E13-$E$22)^2)</f>
        <v>26.155000000000019</v>
      </c>
      <c r="H13" s="6">
        <f t="shared" si="0"/>
        <v>5.1141959289804317</v>
      </c>
      <c r="I13" s="13">
        <f>AVERAGE((B13-$B$22)^2,(C13-$C$22)^2,(D13-$D$22)^2,(E13-$E$22)^2,(F13-$F$22)^2)</f>
        <v>53.692000000000007</v>
      </c>
      <c r="J13" s="122">
        <f t="shared" si="1"/>
        <v>7.3274825144793088</v>
      </c>
      <c r="K13" s="121">
        <f>AVERAGE((B13-$B$2)^2,(C13-$C$2)^2,(D13-$D$2)^2,(E13-$E$2)^2,(F13-$F$2)^2)</f>
        <v>45.846000000000004</v>
      </c>
      <c r="L13" s="122">
        <f t="shared" si="2"/>
        <v>6.7709674345694504</v>
      </c>
    </row>
    <row r="14" spans="1:15" x14ac:dyDescent="0.25">
      <c r="A14" s="137" t="s">
        <v>36</v>
      </c>
      <c r="B14" s="67">
        <v>27.4</v>
      </c>
      <c r="C14" s="4">
        <v>29.6</v>
      </c>
      <c r="D14" s="4">
        <v>12.6</v>
      </c>
      <c r="E14" s="4">
        <v>15.5</v>
      </c>
      <c r="F14" s="140">
        <v>14.8</v>
      </c>
      <c r="G14" s="121">
        <f>AVERAGE((B14-$B$22)^2, (C14-$C$22)^2, (D14-$D$22)^2, (E14-$E$22)^2)</f>
        <v>42.29500000000003</v>
      </c>
      <c r="H14" s="6">
        <f t="shared" si="0"/>
        <v>6.5034606172406422</v>
      </c>
      <c r="I14" s="13">
        <f>AVERAGE((B14-$B$22)^2,(C14-$C$22)^2,(D14-$D$22)^2,(E14-$E$22)^2,(F14-$F$22)^2)</f>
        <v>62.15800000000003</v>
      </c>
      <c r="J14" s="122">
        <f t="shared" si="1"/>
        <v>7.8840345001781946</v>
      </c>
      <c r="K14" s="121">
        <f>AVERAGE((B14-$B$2)^2,(C14-$C$2)^2,(D14-$D$2)^2,(E14-$E$2)^2,(F14-$F$2)^2)</f>
        <v>53.776000000000025</v>
      </c>
      <c r="L14" s="122">
        <f t="shared" si="2"/>
        <v>7.3332121202103533</v>
      </c>
    </row>
    <row r="15" spans="1:15" x14ac:dyDescent="0.25">
      <c r="A15" s="50" t="s">
        <v>16</v>
      </c>
      <c r="B15" s="73">
        <v>34.700000000000003</v>
      </c>
      <c r="C15" s="5">
        <v>24.7</v>
      </c>
      <c r="D15" s="5">
        <v>18.5</v>
      </c>
      <c r="E15" s="5">
        <v>14.4</v>
      </c>
      <c r="F15" s="144">
        <v>7.5</v>
      </c>
      <c r="G15" s="53">
        <f>AVERAGE((B15-$B$22)^2, (C15-$C$22)^2, (D15-$D$22)^2, (E15-$E$22)^2)</f>
        <v>15.305</v>
      </c>
      <c r="H15" s="7">
        <f t="shared" si="0"/>
        <v>3.9121605284037106</v>
      </c>
      <c r="I15" s="24">
        <f>AVERAGE((B15-$B$22)^2,(C15-$C$22)^2,(D15-$D$22)^2,(E15-$E$22)^2,(F15-$F$22)^2)</f>
        <v>16.475999999999999</v>
      </c>
      <c r="J15" s="127">
        <f t="shared" si="1"/>
        <v>4.0590639314994776</v>
      </c>
      <c r="K15" s="53">
        <f>AVERAGE((B15-$B$2)^2,(C15-$C$2)^2,(D15-$D$2)^2,(E15-$E$2)^2,(F15-$F$2)^2)</f>
        <v>11.530000000000001</v>
      </c>
      <c r="L15" s="127">
        <f t="shared" si="2"/>
        <v>3.3955853692699289</v>
      </c>
    </row>
    <row r="16" spans="1:15" x14ac:dyDescent="0.25">
      <c r="A16" s="50" t="s">
        <v>17</v>
      </c>
      <c r="B16" s="73">
        <v>32.9</v>
      </c>
      <c r="C16" s="5">
        <v>28.8</v>
      </c>
      <c r="D16" s="5">
        <v>12.5</v>
      </c>
      <c r="E16" s="5">
        <v>17.7</v>
      </c>
      <c r="F16" s="145">
        <v>8.1</v>
      </c>
      <c r="G16" s="53">
        <f>AVERAGE((B16-$B$22)^2, (C16-$C$22)^2, (D16-$D$22)^2, (E16-$E$22)^2)</f>
        <v>15.555000000000014</v>
      </c>
      <c r="H16" s="7">
        <f t="shared" si="0"/>
        <v>3.9439827585830054</v>
      </c>
      <c r="I16" s="24">
        <f>AVERAGE((B16-$B$22)^2,(C16-$C$22)^2,(D16-$D$22)^2,(E16-$E$22)^2,(F16-$F$22)^2)</f>
        <v>17.852000000000011</v>
      </c>
      <c r="J16" s="127">
        <f t="shared" si="1"/>
        <v>4.2251627187600729</v>
      </c>
      <c r="K16" s="53">
        <f>AVERAGE((B16-$B$2)^2,(C16-$C$2)^2,(D16-$D$2)^2,(E16-$E$2)^2,(F16-$F$2)^2)</f>
        <v>14.606000000000009</v>
      </c>
      <c r="L16" s="127">
        <f t="shared" si="2"/>
        <v>3.8217796901443717</v>
      </c>
    </row>
    <row r="17" spans="1:12" x14ac:dyDescent="0.25">
      <c r="A17" s="50" t="s">
        <v>18</v>
      </c>
      <c r="B17" s="73">
        <v>36.5</v>
      </c>
      <c r="C17" s="5">
        <v>25.3</v>
      </c>
      <c r="D17" s="5">
        <v>14.9</v>
      </c>
      <c r="E17" s="5">
        <v>14.4</v>
      </c>
      <c r="F17" s="145">
        <v>8.9</v>
      </c>
      <c r="G17" s="53">
        <f>AVERAGE((B17-$B$22)^2, (C17-$C$22)^2, (D17-$D$22)^2, (E17-$E$22)^2)</f>
        <v>5.3150000000000039</v>
      </c>
      <c r="H17" s="7">
        <f t="shared" si="0"/>
        <v>2.3054283766797017</v>
      </c>
      <c r="I17" s="24">
        <f>AVERAGE((B17-$B$22)^2,(C17-$C$22)^2,(D17-$D$22)^2,(E17-$E$22)^2,(F17-$F$22)^2)</f>
        <v>11.452000000000004</v>
      </c>
      <c r="J17" s="127">
        <f t="shared" si="1"/>
        <v>3.3840803772960246</v>
      </c>
      <c r="K17" s="53">
        <f>AVERAGE((B17-$B$2)^2,(C17-$C$2)^2,(D17-$D$2)^2,(E17-$E$2)^2,(F17-$F$2)^2)</f>
        <v>7.7540000000000049</v>
      </c>
      <c r="L17" s="127">
        <f t="shared" si="2"/>
        <v>2.7846005099475231</v>
      </c>
    </row>
    <row r="18" spans="1:12" x14ac:dyDescent="0.25">
      <c r="A18" s="52" t="s">
        <v>19</v>
      </c>
      <c r="B18" s="146">
        <v>37.9</v>
      </c>
      <c r="C18" s="18">
        <v>25.8</v>
      </c>
      <c r="D18" s="18">
        <v>13.5</v>
      </c>
      <c r="E18" s="18">
        <v>14.4</v>
      </c>
      <c r="F18" s="147">
        <v>8.4</v>
      </c>
      <c r="G18" s="128">
        <f>AVERAGE((B18-$B$22)^2, (C18-$C$22)^2, (D18-$D$22)^2, (E18-$E$22)^2)</f>
        <v>2.4675000000000038</v>
      </c>
      <c r="H18" s="11">
        <f t="shared" si="0"/>
        <v>1.570827807240502</v>
      </c>
      <c r="I18" s="25">
        <f>AVERAGE((B18-$B$22)^2,(C18-$C$22)^2,(D18-$D$22)^2,(E18-$E$22)^2,(F18-$F$22)^2)</f>
        <v>8.0240000000000045</v>
      </c>
      <c r="J18" s="129">
        <f t="shared" si="1"/>
        <v>2.8326665882168349</v>
      </c>
      <c r="K18" s="128">
        <f>AVERAGE((B18-$B$2)^2,(C18-$C$2)^2,(D18-$D$2)^2,(E18-$E$2)^2,(F18-$F$2)^2)</f>
        <v>5.4780000000000033</v>
      </c>
      <c r="L18" s="129">
        <f t="shared" si="2"/>
        <v>2.3405127643317827</v>
      </c>
    </row>
    <row r="19" spans="1:12" x14ac:dyDescent="0.25">
      <c r="A19" s="50" t="s">
        <v>37</v>
      </c>
      <c r="B19" s="73">
        <v>35.6</v>
      </c>
      <c r="C19" s="5">
        <v>22.9</v>
      </c>
      <c r="D19" s="5">
        <v>14.4</v>
      </c>
      <c r="E19" s="5">
        <v>18.5</v>
      </c>
      <c r="F19" s="145">
        <v>8.5</v>
      </c>
      <c r="G19" s="53">
        <f>AVERAGE((B19-$B$22)^2, (C19-$C$22)^2, (D19-$D$22)^2, (E19-$E$22)^2)</f>
        <v>13.672500000000003</v>
      </c>
      <c r="H19" s="9">
        <f t="shared" si="0"/>
        <v>3.6976343788968649</v>
      </c>
      <c r="I19" s="24">
        <f>AVERAGE((B19-$B$22)^2,(C19-$C$22)^2,(D19-$D$22)^2,(E19-$E$22)^2,(F19-$F$22)^2)</f>
        <v>17.21</v>
      </c>
      <c r="J19" s="130">
        <f t="shared" si="1"/>
        <v>4.1484937025383077</v>
      </c>
      <c r="K19" s="53">
        <f>AVERAGE((B19-$B$2)^2,(C19-$C$2)^2,(D19-$D$2)^2,(E19-$E$2)^2,(F19-$F$2)^2)</f>
        <v>14.324000000000009</v>
      </c>
      <c r="L19" s="130">
        <f t="shared" si="2"/>
        <v>3.7847060652050653</v>
      </c>
    </row>
    <row r="20" spans="1:12" x14ac:dyDescent="0.25">
      <c r="A20" s="51" t="s">
        <v>38</v>
      </c>
      <c r="B20" s="72">
        <v>37.200000000000003</v>
      </c>
      <c r="C20" s="26">
        <v>24.9</v>
      </c>
      <c r="D20" s="26">
        <v>15.2</v>
      </c>
      <c r="E20" s="26">
        <v>15.6</v>
      </c>
      <c r="F20" s="148">
        <v>7.1</v>
      </c>
      <c r="G20" s="55">
        <f>AVERAGE((B20-$B$22)^2, (C20-$C$22)^2, (D20-$D$22)^2, (E20-$E$22)^2)</f>
        <v>4.6550000000000002</v>
      </c>
      <c r="H20" s="182">
        <f t="shared" si="0"/>
        <v>2.1575449010391416</v>
      </c>
      <c r="I20" s="181">
        <f>AVERAGE((B20-$B$22)^2,(C20-$C$22)^2,(D20-$D$22)^2,(E20-$E$22)^2,(F20-$F$22)^2)</f>
        <v>7.251999999999998</v>
      </c>
      <c r="J20" s="131">
        <f t="shared" si="1"/>
        <v>2.6929537686339877</v>
      </c>
      <c r="K20" s="55">
        <f>AVERAGE((B20-$B$2)^2,(C20-$C$2)^2,(D20-$D$2)^2,(E20-$E$2)^2,(F20-$F$2)^2)</f>
        <v>4.6700000000000035</v>
      </c>
      <c r="L20" s="131">
        <f t="shared" si="2"/>
        <v>2.1610182784974317</v>
      </c>
    </row>
    <row r="21" spans="1:12" ht="15.75" thickBot="1" x14ac:dyDescent="0.3">
      <c r="A21" s="50" t="s">
        <v>63</v>
      </c>
      <c r="B21" s="183">
        <v>32.1</v>
      </c>
      <c r="C21" s="184">
        <v>27.6</v>
      </c>
      <c r="D21" s="184">
        <v>12.6</v>
      </c>
      <c r="E21" s="184">
        <v>19.2</v>
      </c>
      <c r="F21" s="185">
        <v>8.4</v>
      </c>
      <c r="G21" s="186">
        <f>AVERAGE((B21-$B$22)^2, (C21-$C$22)^2, (D21-$D$22)^2, (E21-$E$22)^2)</f>
        <v>20.630000000000006</v>
      </c>
      <c r="H21" s="187">
        <f t="shared" ref="H21" si="3">SQRT(G21)</f>
        <v>4.5420259796703064</v>
      </c>
      <c r="I21" s="188">
        <f>AVERAGE((B21-$B$22)^2,(C21-$C$22)^2,(D21-$D$22)^2,(E21-$E$22)^2,(F21-$F$22)^2)</f>
        <v>22.554000000000006</v>
      </c>
      <c r="J21" s="189">
        <f t="shared" ref="J21" si="4">SQRT(I21)</f>
        <v>4.7491051788731742</v>
      </c>
      <c r="K21" s="53">
        <f>AVERAGE((B21-$B$2)^2,(C21-$C$2)^2,(D21-$D$2)^2,(E21-$E$2)^2,(F21-$F$2)^2)</f>
        <v>19.164000000000005</v>
      </c>
      <c r="L21" s="130">
        <f t="shared" ref="L21" si="5">SQRT(K21)</f>
        <v>4.3776706134655683</v>
      </c>
    </row>
    <row r="22" spans="1:12" ht="15.75" thickBot="1" x14ac:dyDescent="0.3">
      <c r="A22" s="119" t="s">
        <v>32</v>
      </c>
      <c r="B22" s="132">
        <v>40.200000000000003</v>
      </c>
      <c r="C22" s="133">
        <v>27.7</v>
      </c>
      <c r="D22" s="133">
        <v>13.9</v>
      </c>
      <c r="E22" s="133">
        <v>15.3</v>
      </c>
      <c r="F22" s="134">
        <v>2.9</v>
      </c>
      <c r="K22" s="132">
        <f>AVERAGE((B22-$B$2)^2,(C22-$C$2)^2,(D22-$D$2)^2,(E22-$E$2)^2,(F22-$F$2)^2)</f>
        <v>0.53400000000000003</v>
      </c>
      <c r="L22" s="134">
        <f t="shared" si="2"/>
        <v>0.73075303625780441</v>
      </c>
    </row>
    <row r="25" spans="1:12" x14ac:dyDescent="0.25">
      <c r="A25" s="28" t="s">
        <v>25</v>
      </c>
      <c r="B25" s="1" t="s">
        <v>0</v>
      </c>
      <c r="C25" s="1" t="s">
        <v>1</v>
      </c>
      <c r="D25" s="1" t="s">
        <v>2</v>
      </c>
      <c r="E25" s="1" t="s">
        <v>3</v>
      </c>
      <c r="F25" s="1" t="s">
        <v>70</v>
      </c>
      <c r="G25" s="1" t="s">
        <v>71</v>
      </c>
    </row>
    <row r="26" spans="1:12" x14ac:dyDescent="0.25">
      <c r="A26" s="46" t="s">
        <v>33</v>
      </c>
      <c r="B26" s="2">
        <v>16</v>
      </c>
      <c r="C26" s="2">
        <v>11</v>
      </c>
      <c r="D26" s="2">
        <v>5</v>
      </c>
      <c r="E26" s="2">
        <v>5</v>
      </c>
      <c r="F26" s="2">
        <f>AVERAGE((B26-$B$46)^2, (C26-$C$46)^2, (D26-$D$46)^2, (E26-$E$46)^2)</f>
        <v>0.5</v>
      </c>
      <c r="G26" s="8">
        <f>SQRT(F26)</f>
        <v>0.70710678118654757</v>
      </c>
      <c r="L26" t="s">
        <v>50</v>
      </c>
    </row>
    <row r="27" spans="1:12" x14ac:dyDescent="0.25">
      <c r="A27" s="15" t="s">
        <v>4</v>
      </c>
      <c r="B27" s="15">
        <v>14</v>
      </c>
      <c r="C27" s="15">
        <v>10</v>
      </c>
      <c r="D27" s="15">
        <v>7</v>
      </c>
      <c r="E27" s="15">
        <v>6</v>
      </c>
      <c r="F27" s="4">
        <f t="shared" ref="F27:F45" si="6">AVERAGE((B27-$B$46)^2, (C27-$C$46)^2, (D27-$D$46)^2, (E27-$E$46)^2)</f>
        <v>2</v>
      </c>
      <c r="G27" s="6">
        <f t="shared" ref="G27:G43" si="7">SQRT(F27)</f>
        <v>1.4142135623730951</v>
      </c>
    </row>
    <row r="28" spans="1:12" x14ac:dyDescent="0.25">
      <c r="A28" s="23" t="s">
        <v>5</v>
      </c>
      <c r="B28" s="23">
        <v>14</v>
      </c>
      <c r="C28" s="23">
        <v>10</v>
      </c>
      <c r="D28" s="23">
        <v>6</v>
      </c>
      <c r="E28" s="23">
        <v>7</v>
      </c>
      <c r="F28" s="16">
        <f t="shared" si="6"/>
        <v>1.5</v>
      </c>
      <c r="G28" s="10">
        <f>SQRT(F28)</f>
        <v>1.2247448713915889</v>
      </c>
    </row>
    <row r="29" spans="1:12" x14ac:dyDescent="0.25">
      <c r="A29" s="15" t="s">
        <v>6</v>
      </c>
      <c r="B29" s="15">
        <v>12</v>
      </c>
      <c r="C29" s="15">
        <v>16</v>
      </c>
      <c r="D29" s="15">
        <v>5</v>
      </c>
      <c r="E29" s="15">
        <v>4</v>
      </c>
      <c r="F29" s="4">
        <f t="shared" si="6"/>
        <v>14</v>
      </c>
      <c r="G29" s="6">
        <f>SQRT(F29)</f>
        <v>3.7416573867739413</v>
      </c>
    </row>
    <row r="30" spans="1:12" x14ac:dyDescent="0.25">
      <c r="A30" s="15" t="s">
        <v>7</v>
      </c>
      <c r="B30" s="15">
        <v>12</v>
      </c>
      <c r="C30" s="15">
        <v>17</v>
      </c>
      <c r="D30" s="15">
        <v>5</v>
      </c>
      <c r="E30" s="15">
        <v>3</v>
      </c>
      <c r="F30" s="4">
        <f t="shared" si="6"/>
        <v>18.5</v>
      </c>
      <c r="G30" s="6">
        <f>SQRT(F30)</f>
        <v>4.3011626335213133</v>
      </c>
    </row>
    <row r="31" spans="1:12" x14ac:dyDescent="0.25">
      <c r="A31" s="23" t="s">
        <v>8</v>
      </c>
      <c r="B31" s="23">
        <v>14</v>
      </c>
      <c r="C31" s="23">
        <v>11</v>
      </c>
      <c r="D31" s="23">
        <v>6</v>
      </c>
      <c r="E31" s="23">
        <v>6</v>
      </c>
      <c r="F31" s="16">
        <f t="shared" si="6"/>
        <v>1.5</v>
      </c>
      <c r="G31" s="10">
        <f>SQRT(F31)</f>
        <v>1.2247448713915889</v>
      </c>
    </row>
    <row r="32" spans="1:12" x14ac:dyDescent="0.25">
      <c r="A32" s="15" t="s">
        <v>9</v>
      </c>
      <c r="B32" s="15">
        <v>13</v>
      </c>
      <c r="C32" s="15">
        <v>12</v>
      </c>
      <c r="D32" s="15">
        <v>5</v>
      </c>
      <c r="E32" s="15">
        <v>7</v>
      </c>
      <c r="F32" s="4">
        <f t="shared" si="6"/>
        <v>3.5</v>
      </c>
      <c r="G32" s="6">
        <f t="shared" si="7"/>
        <v>1.8708286933869707</v>
      </c>
    </row>
    <row r="33" spans="1:7" x14ac:dyDescent="0.25">
      <c r="A33" s="23" t="s">
        <v>10</v>
      </c>
      <c r="B33" s="23">
        <v>15</v>
      </c>
      <c r="C33" s="23">
        <v>9</v>
      </c>
      <c r="D33" s="23">
        <v>7</v>
      </c>
      <c r="E33" s="23">
        <v>6</v>
      </c>
      <c r="F33" s="16">
        <f t="shared" si="6"/>
        <v>1.5</v>
      </c>
      <c r="G33" s="10">
        <f>SQRT(F33)</f>
        <v>1.2247448713915889</v>
      </c>
    </row>
    <row r="34" spans="1:7" x14ac:dyDescent="0.25">
      <c r="A34" s="23" t="s">
        <v>11</v>
      </c>
      <c r="B34" s="23">
        <v>15</v>
      </c>
      <c r="C34" s="23">
        <v>9</v>
      </c>
      <c r="D34" s="23">
        <v>7</v>
      </c>
      <c r="E34" s="23">
        <v>6</v>
      </c>
      <c r="F34" s="16">
        <f t="shared" si="6"/>
        <v>1.5</v>
      </c>
      <c r="G34" s="10">
        <f>SQRT(F34)</f>
        <v>1.2247448713915889</v>
      </c>
    </row>
    <row r="35" spans="1:7" x14ac:dyDescent="0.25">
      <c r="A35" s="15" t="s">
        <v>12</v>
      </c>
      <c r="B35" s="15">
        <v>14</v>
      </c>
      <c r="C35" s="15">
        <v>16</v>
      </c>
      <c r="D35" s="15">
        <v>5</v>
      </c>
      <c r="E35" s="15">
        <v>2</v>
      </c>
      <c r="F35" s="4">
        <f t="shared" si="6"/>
        <v>14</v>
      </c>
      <c r="G35" s="6">
        <f t="shared" si="7"/>
        <v>3.7416573867739413</v>
      </c>
    </row>
    <row r="36" spans="1:7" x14ac:dyDescent="0.25">
      <c r="A36" s="15" t="s">
        <v>13</v>
      </c>
      <c r="B36" s="15">
        <v>13</v>
      </c>
      <c r="C36" s="15">
        <v>16</v>
      </c>
      <c r="D36" s="15">
        <v>6</v>
      </c>
      <c r="E36" s="15">
        <v>2</v>
      </c>
      <c r="F36" s="4">
        <f t="shared" si="6"/>
        <v>15.5</v>
      </c>
      <c r="G36" s="6">
        <f t="shared" si="7"/>
        <v>3.9370039370059056</v>
      </c>
    </row>
    <row r="37" spans="1:7" x14ac:dyDescent="0.25">
      <c r="A37" s="23" t="s">
        <v>14</v>
      </c>
      <c r="B37" s="23">
        <v>14</v>
      </c>
      <c r="C37" s="23">
        <v>11</v>
      </c>
      <c r="D37" s="23">
        <v>5</v>
      </c>
      <c r="E37" s="23">
        <v>7</v>
      </c>
      <c r="F37" s="16">
        <f t="shared" si="6"/>
        <v>1.5</v>
      </c>
      <c r="G37" s="10">
        <f t="shared" si="7"/>
        <v>1.2247448713915889</v>
      </c>
    </row>
    <row r="38" spans="1:7" x14ac:dyDescent="0.25">
      <c r="A38" s="15" t="s">
        <v>15</v>
      </c>
      <c r="B38" s="15">
        <v>12</v>
      </c>
      <c r="C38" s="15">
        <v>13</v>
      </c>
      <c r="D38" s="15">
        <v>5</v>
      </c>
      <c r="E38" s="15">
        <v>7</v>
      </c>
      <c r="F38" s="4">
        <f t="shared" si="6"/>
        <v>6.5</v>
      </c>
      <c r="G38" s="6">
        <f t="shared" si="7"/>
        <v>2.5495097567963922</v>
      </c>
    </row>
    <row r="39" spans="1:7" x14ac:dyDescent="0.25">
      <c r="A39" s="5" t="s">
        <v>16</v>
      </c>
      <c r="B39" s="5">
        <v>14</v>
      </c>
      <c r="C39" s="5">
        <v>10</v>
      </c>
      <c r="D39" s="5">
        <v>7</v>
      </c>
      <c r="E39" s="5">
        <v>6</v>
      </c>
      <c r="F39" s="7">
        <f t="shared" si="6"/>
        <v>2</v>
      </c>
      <c r="G39" s="7">
        <f t="shared" si="7"/>
        <v>1.4142135623730951</v>
      </c>
    </row>
    <row r="40" spans="1:7" x14ac:dyDescent="0.25">
      <c r="A40" s="5" t="s">
        <v>17</v>
      </c>
      <c r="B40" s="5">
        <v>13</v>
      </c>
      <c r="C40" s="5">
        <v>12</v>
      </c>
      <c r="D40" s="5">
        <v>5</v>
      </c>
      <c r="E40" s="5">
        <v>7</v>
      </c>
      <c r="F40" s="7">
        <f t="shared" si="6"/>
        <v>3.5</v>
      </c>
      <c r="G40" s="7">
        <f t="shared" si="7"/>
        <v>1.8708286933869707</v>
      </c>
    </row>
    <row r="41" spans="1:7" x14ac:dyDescent="0.25">
      <c r="A41" s="5" t="s">
        <v>18</v>
      </c>
      <c r="B41" s="5">
        <v>15</v>
      </c>
      <c r="C41" s="5">
        <v>10</v>
      </c>
      <c r="D41" s="5">
        <v>6</v>
      </c>
      <c r="E41" s="5">
        <v>6</v>
      </c>
      <c r="F41" s="7">
        <f t="shared" si="6"/>
        <v>0.5</v>
      </c>
      <c r="G41" s="7">
        <f t="shared" si="7"/>
        <v>0.70710678118654757</v>
      </c>
    </row>
    <row r="42" spans="1:7" x14ac:dyDescent="0.25">
      <c r="A42" s="18" t="s">
        <v>19</v>
      </c>
      <c r="B42" s="18">
        <v>16</v>
      </c>
      <c r="C42" s="18">
        <v>10</v>
      </c>
      <c r="D42" s="18">
        <v>5</v>
      </c>
      <c r="E42" s="18">
        <v>6</v>
      </c>
      <c r="F42" s="11">
        <f t="shared" si="6"/>
        <v>0</v>
      </c>
      <c r="G42" s="11">
        <f t="shared" si="7"/>
        <v>0</v>
      </c>
    </row>
    <row r="43" spans="1:7" x14ac:dyDescent="0.25">
      <c r="A43" s="5" t="s">
        <v>63</v>
      </c>
      <c r="B43" s="5">
        <v>13</v>
      </c>
      <c r="C43" s="5">
        <v>11</v>
      </c>
      <c r="D43" s="5">
        <v>5</v>
      </c>
      <c r="E43" s="5">
        <v>8</v>
      </c>
      <c r="F43" s="7">
        <f t="shared" si="6"/>
        <v>3.5</v>
      </c>
      <c r="G43" s="7">
        <f t="shared" si="7"/>
        <v>1.8708286933869707</v>
      </c>
    </row>
    <row r="44" spans="1:7" x14ac:dyDescent="0.25">
      <c r="A44" s="5" t="s">
        <v>20</v>
      </c>
      <c r="B44" s="5">
        <v>15</v>
      </c>
      <c r="C44" s="5">
        <v>9</v>
      </c>
      <c r="D44" s="5">
        <v>6</v>
      </c>
      <c r="E44" s="5">
        <v>7</v>
      </c>
      <c r="F44" s="7">
        <f t="shared" si="6"/>
        <v>1</v>
      </c>
      <c r="G44" s="7">
        <f>SQRT(F44)</f>
        <v>1</v>
      </c>
    </row>
    <row r="45" spans="1:7" x14ac:dyDescent="0.25">
      <c r="A45" s="5" t="s">
        <v>21</v>
      </c>
      <c r="B45" s="5">
        <v>15</v>
      </c>
      <c r="C45" s="5">
        <v>10</v>
      </c>
      <c r="D45" s="5">
        <v>6</v>
      </c>
      <c r="E45" s="5">
        <v>6</v>
      </c>
      <c r="F45" s="7">
        <f t="shared" si="6"/>
        <v>0.5</v>
      </c>
      <c r="G45" s="7">
        <f>SQRT(F45)</f>
        <v>0.70710678118654757</v>
      </c>
    </row>
    <row r="46" spans="1:7" x14ac:dyDescent="0.25">
      <c r="A46" s="3" t="s">
        <v>22</v>
      </c>
      <c r="B46" s="3">
        <v>16</v>
      </c>
      <c r="C46" s="3">
        <v>10</v>
      </c>
      <c r="D46" s="3">
        <v>5</v>
      </c>
      <c r="E46" s="3">
        <v>6</v>
      </c>
    </row>
  </sheetData>
  <mergeCells count="1"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8D27-8A2C-428E-AD1F-95CA8D10B9C0}">
  <dimension ref="A1:L41"/>
  <sheetViews>
    <sheetView zoomScaleNormal="100" workbookViewId="0">
      <selection activeCell="A41" sqref="A41"/>
    </sheetView>
  </sheetViews>
  <sheetFormatPr baseColWidth="10" defaultRowHeight="15" x14ac:dyDescent="0.25"/>
  <cols>
    <col min="1" max="1" width="41.140625" customWidth="1"/>
  </cols>
  <sheetData>
    <row r="1" spans="1:12" ht="15.75" thickBot="1" x14ac:dyDescent="0.3">
      <c r="A1" s="28" t="s">
        <v>25</v>
      </c>
      <c r="B1" s="30" t="s">
        <v>0</v>
      </c>
      <c r="C1" s="120" t="s">
        <v>1</v>
      </c>
      <c r="D1" s="120" t="s">
        <v>2</v>
      </c>
      <c r="E1" s="120" t="s">
        <v>3</v>
      </c>
      <c r="F1" s="31" t="s">
        <v>68</v>
      </c>
      <c r="G1" s="30" t="s">
        <v>70</v>
      </c>
      <c r="H1" s="120" t="s">
        <v>71</v>
      </c>
      <c r="I1" s="120" t="s">
        <v>72</v>
      </c>
      <c r="J1" s="31" t="s">
        <v>73</v>
      </c>
      <c r="K1" s="241" t="s">
        <v>69</v>
      </c>
      <c r="L1" s="242"/>
    </row>
    <row r="2" spans="1:12" ht="15.75" thickBot="1" x14ac:dyDescent="0.3">
      <c r="A2" s="46" t="s">
        <v>26</v>
      </c>
      <c r="B2" s="138">
        <v>35.299999999999997</v>
      </c>
      <c r="C2" s="2">
        <v>28.3</v>
      </c>
      <c r="D2" s="2">
        <v>15.3</v>
      </c>
      <c r="E2" s="2">
        <v>12.6</v>
      </c>
      <c r="F2" s="139">
        <v>8.5</v>
      </c>
      <c r="G2" s="32">
        <v>7.152499999999999</v>
      </c>
      <c r="H2" s="33">
        <v>2.6744158240632663</v>
      </c>
      <c r="I2" s="32">
        <v>12.219999999999999</v>
      </c>
      <c r="J2" s="33">
        <v>3.4957116585897068</v>
      </c>
      <c r="K2" s="120" t="s">
        <v>72</v>
      </c>
      <c r="L2" s="31" t="s">
        <v>73</v>
      </c>
    </row>
    <row r="3" spans="1:12" x14ac:dyDescent="0.25">
      <c r="A3" s="47" t="s">
        <v>4</v>
      </c>
      <c r="B3" s="76">
        <v>32.5</v>
      </c>
      <c r="C3" s="27">
        <v>27.4</v>
      </c>
      <c r="D3" s="27">
        <v>17.600000000000001</v>
      </c>
      <c r="E3" s="27">
        <v>14.3</v>
      </c>
      <c r="F3" s="141">
        <v>8.1</v>
      </c>
      <c r="G3" s="34">
        <f>AVERAGE((B3-$B$20)^2, (C3-$C$20)^2, (D3-$D$20)^2, (E3-$E$20)^2)</f>
        <v>15.750000000000004</v>
      </c>
      <c r="H3" s="35">
        <f>SQRT(G3)</f>
        <v>3.9686269665968865</v>
      </c>
      <c r="I3" s="34">
        <f>AVERAGE((B3-$B$20)^2, (C3-$C$20)^2, (D3-$D$20)^2, (E3-$E$20)^2,(F3-$F$20)^2)</f>
        <v>18.218000000000004</v>
      </c>
      <c r="J3" s="35">
        <f>SQRT(I3)</f>
        <v>4.2682549127248715</v>
      </c>
      <c r="K3" s="74">
        <f>AVERAGE((B3-$B$2)^2,(C3-$C$2)^2,(D3-$D$2)^2,(E3-$E$2)^2,(F3-$F$2)^2)</f>
        <v>3.3979999999999988</v>
      </c>
      <c r="L3" s="75">
        <f>SQRT(K3)</f>
        <v>1.84336648553672</v>
      </c>
    </row>
    <row r="4" spans="1:12" x14ac:dyDescent="0.25">
      <c r="A4" s="47" t="s">
        <v>5</v>
      </c>
      <c r="B4" s="76">
        <v>32.299999999999997</v>
      </c>
      <c r="C4" s="27">
        <v>27.4</v>
      </c>
      <c r="D4" s="27">
        <v>17.600000000000001</v>
      </c>
      <c r="E4" s="27">
        <v>14.6</v>
      </c>
      <c r="F4" s="141">
        <v>8.1</v>
      </c>
      <c r="G4" s="34">
        <f>AVERAGE((B4-$B$20)^2, (C4-$C$20)^2, (D4-$D$20)^2, (E4-$E$20)^2)</f>
        <v>16.517500000000005</v>
      </c>
      <c r="H4" s="35">
        <f t="shared" ref="H4:H19" si="0">SQRT(G4)</f>
        <v>4.0641727325496397</v>
      </c>
      <c r="I4" s="34">
        <f>AVERAGE((B4-$B$20)^2, (C4-$C$20)^2, (D4-$D$20)^2, (E4-$E$20)^2,(F4-$F$20)^2)</f>
        <v>18.832000000000004</v>
      </c>
      <c r="J4" s="35">
        <f t="shared" ref="J4:J19" si="1">SQRT(I4)</f>
        <v>4.3395852336369662</v>
      </c>
      <c r="K4" s="36">
        <f>AVERAGE((B4-$B$2)^2,(C4-$C$2)^2,(D4-$D$2)^2,(E4-$E$2)^2,(F4-$F$2)^2)</f>
        <v>3.8520000000000016</v>
      </c>
      <c r="L4" s="37">
        <f t="shared" ref="L4:L20" si="2">SQRT(K4)</f>
        <v>1.9626512680555355</v>
      </c>
    </row>
    <row r="5" spans="1:12" x14ac:dyDescent="0.25">
      <c r="A5" s="48" t="s">
        <v>6</v>
      </c>
      <c r="B5" s="67">
        <v>21.7</v>
      </c>
      <c r="C5" s="4">
        <v>39</v>
      </c>
      <c r="D5" s="4">
        <v>11.3</v>
      </c>
      <c r="E5" s="4">
        <v>6.7</v>
      </c>
      <c r="F5" s="140">
        <v>21.3</v>
      </c>
      <c r="G5" s="36">
        <f>AVERAGE((B5-$B$20)^2, (C5-$C$20)^2, (D5-$D$20)^2, (E5-$E$20)^2)</f>
        <v>72.607499999999987</v>
      </c>
      <c r="H5" s="37">
        <f t="shared" si="0"/>
        <v>8.5210034620342689</v>
      </c>
      <c r="I5" s="36">
        <f>AVERAGE((B5-$B$20)^2, (C5-$C$20)^2, (D5-$D$20)^2, (E5-$E$20)^2,(F5-$F$20)^2)</f>
        <v>126.53599999999999</v>
      </c>
      <c r="J5" s="37">
        <f t="shared" si="1"/>
        <v>11.248822160564188</v>
      </c>
      <c r="K5" s="36">
        <f>AVERAGE((B5-$B$2)^2,(C5-$C$2)^2,(D5-$D$2)^2,(E5-$E$2)^2,(F5-$F$2)^2)</f>
        <v>102.81999999999998</v>
      </c>
      <c r="L5" s="37">
        <f t="shared" si="2"/>
        <v>10.140019723846693</v>
      </c>
    </row>
    <row r="6" spans="1:12" x14ac:dyDescent="0.25">
      <c r="A6" s="48" t="s">
        <v>7</v>
      </c>
      <c r="B6" s="67">
        <v>21.7</v>
      </c>
      <c r="C6" s="4">
        <v>39</v>
      </c>
      <c r="D6" s="4">
        <v>11.3</v>
      </c>
      <c r="E6" s="4">
        <v>6.7</v>
      </c>
      <c r="F6" s="140">
        <v>21.3</v>
      </c>
      <c r="G6" s="36">
        <f>AVERAGE((B6-$B$20)^2, (C6-$C$20)^2, (D6-$D$20)^2, (E6-$E$20)^2)</f>
        <v>72.607499999999987</v>
      </c>
      <c r="H6" s="37">
        <f t="shared" si="0"/>
        <v>8.5210034620342689</v>
      </c>
      <c r="I6" s="36">
        <f>AVERAGE((B6-$B$20)^2, (C6-$C$20)^2, (D6-$D$20)^2, (E6-$E$20)^2,(F6-$F$20)^2)</f>
        <v>126.53599999999999</v>
      </c>
      <c r="J6" s="37">
        <f t="shared" si="1"/>
        <v>11.248822160564188</v>
      </c>
      <c r="K6" s="36">
        <f>AVERAGE((B6-$B$2)^2,(C6-$C$2)^2,(D6-$D$2)^2,(E6-$E$2)^2,(F6-$F$2)^2)</f>
        <v>102.81999999999998</v>
      </c>
      <c r="L6" s="37">
        <f t="shared" si="2"/>
        <v>10.140019723846693</v>
      </c>
    </row>
    <row r="7" spans="1:12" x14ac:dyDescent="0.25">
      <c r="A7" s="48" t="s">
        <v>8</v>
      </c>
      <c r="B7" s="67">
        <v>33.4</v>
      </c>
      <c r="C7" s="4">
        <v>26.2</v>
      </c>
      <c r="D7" s="4">
        <v>14</v>
      </c>
      <c r="E7" s="4">
        <v>11.4</v>
      </c>
      <c r="F7" s="140">
        <v>14</v>
      </c>
      <c r="G7" s="36">
        <f>AVERAGE((B7-$B$20)^2, (C7-$C$20)^2, (D7-$D$20)^2, (E7-$E$20)^2)</f>
        <v>16.085000000000004</v>
      </c>
      <c r="H7" s="37">
        <f t="shared" si="0"/>
        <v>4.010610926031096</v>
      </c>
      <c r="I7" s="36">
        <f>AVERAGE((B7-$B$20)^2, (C7-$C$20)^2, (D7-$D$20)^2, (E7-$E$20)^2,(F7-$F$20)^2)</f>
        <v>37.956000000000003</v>
      </c>
      <c r="J7" s="37">
        <f t="shared" si="1"/>
        <v>6.1608440980112462</v>
      </c>
      <c r="K7" s="36">
        <f>AVERAGE((B7-$B$2)^2,(C7-$C$2)^2,(D7-$D$2)^2,(E7-$E$2)^2,(F7-$F$2)^2)</f>
        <v>8.2799999999999994</v>
      </c>
      <c r="L7" s="37">
        <f t="shared" si="2"/>
        <v>2.8774989139876315</v>
      </c>
    </row>
    <row r="8" spans="1:12" x14ac:dyDescent="0.25">
      <c r="A8" s="48" t="s">
        <v>9</v>
      </c>
      <c r="B8" s="67">
        <v>29.5</v>
      </c>
      <c r="C8" s="4">
        <v>28.1</v>
      </c>
      <c r="D8" s="4">
        <v>12.5</v>
      </c>
      <c r="E8" s="4">
        <v>15.2</v>
      </c>
      <c r="F8" s="140">
        <v>14.7</v>
      </c>
      <c r="G8" s="36">
        <f>AVERAGE((B8-$B$20)^2, (C8-$C$20)^2, (D8-$D$20)^2, (E8-$E$20)^2)</f>
        <v>23.712499999999991</v>
      </c>
      <c r="H8" s="37">
        <f t="shared" si="0"/>
        <v>4.8695482336660341</v>
      </c>
      <c r="I8" s="36">
        <f>AVERAGE((B8-$B$20)^2, (C8-$C$20)^2, (D8-$D$20)^2, (E8-$E$20)^2,(F8-$F$20)^2)</f>
        <v>47.291999999999987</v>
      </c>
      <c r="J8" s="37">
        <f t="shared" si="1"/>
        <v>6.8769179142985255</v>
      </c>
      <c r="K8" s="36">
        <f>AVERAGE((B8-$B$2)^2,(C8-$C$2)^2,(D8-$D$2)^2,(E8-$E$2)^2,(F8-$F$2)^2)</f>
        <v>17.343999999999991</v>
      </c>
      <c r="L8" s="37">
        <f t="shared" si="2"/>
        <v>4.1646128271425171</v>
      </c>
    </row>
    <row r="9" spans="1:12" x14ac:dyDescent="0.25">
      <c r="A9" s="48" t="s">
        <v>64</v>
      </c>
      <c r="B9" s="191">
        <v>34.65</v>
      </c>
      <c r="C9" s="12">
        <v>27.84</v>
      </c>
      <c r="D9" s="12">
        <v>16.71</v>
      </c>
      <c r="E9" s="12">
        <v>12.67</v>
      </c>
      <c r="F9" s="192">
        <v>8.1300000000000008</v>
      </c>
      <c r="G9" s="36">
        <f>AVERAGE((B9-$B$20)^2, (C9-$C$20)^2, (D9-$D$20)^2, (E9-$E$20)^2)</f>
        <v>9.3837750000000018</v>
      </c>
      <c r="H9" s="37">
        <f t="shared" ref="H9" si="3">SQRT(G9)</f>
        <v>3.0632947948246838</v>
      </c>
      <c r="I9" s="36">
        <f>AVERAGE((B9-$B$20)^2, (C9-$C$20)^2, (D9-$D$20)^2, (E9-$E$20)^2,(F9-$F$20)^2)</f>
        <v>13.188800000000004</v>
      </c>
      <c r="J9" s="37">
        <f t="shared" ref="J9" si="4">SQRT(I9)</f>
        <v>3.631638748554157</v>
      </c>
      <c r="K9" s="36">
        <f>AVERAGE((B9-$B$2)^2,(C9-$C$2)^2,(D9-$D$2)^2,(E9-$E$2)^2,(F9-$F$2)^2)</f>
        <v>0.55279999999999974</v>
      </c>
      <c r="L9" s="37">
        <f t="shared" ref="L9" si="5">SQRT(K9)</f>
        <v>0.74350521181764406</v>
      </c>
    </row>
    <row r="10" spans="1:12" x14ac:dyDescent="0.25">
      <c r="A10" s="49" t="s">
        <v>27</v>
      </c>
      <c r="B10" s="142">
        <v>34.299999999999997</v>
      </c>
      <c r="C10" s="16">
        <v>28.1</v>
      </c>
      <c r="D10" s="16">
        <v>17.100000000000001</v>
      </c>
      <c r="E10" s="16">
        <v>12.8</v>
      </c>
      <c r="F10" s="143">
        <v>7.7</v>
      </c>
      <c r="G10" s="38">
        <f>AVERAGE((B10-$B$20)^2, (C10-$C$20)^2, (D10-$D$20)^2, (E10-$E$20)^2)</f>
        <v>9.3624999999999989</v>
      </c>
      <c r="H10" s="39">
        <f t="shared" si="0"/>
        <v>3.0598202561588481</v>
      </c>
      <c r="I10" s="38">
        <f>AVERAGE((B10-$B$20)^2, (C10-$C$20)^2, (D10-$D$20)^2, (E10-$E$20)^2,(F10-$F$20)^2)</f>
        <v>12.292</v>
      </c>
      <c r="J10" s="39">
        <f t="shared" si="1"/>
        <v>3.5059948659403366</v>
      </c>
      <c r="K10" s="34">
        <f>AVERAGE((B10-$B$2)^2,(C10-$C$2)^2,(D10-$D$2)^2,(E10-$E$2)^2,(F10-$F$2)^2)</f>
        <v>0.99200000000000033</v>
      </c>
      <c r="L10" s="35">
        <f t="shared" si="2"/>
        <v>0.99599196783909871</v>
      </c>
    </row>
    <row r="11" spans="1:12" x14ac:dyDescent="0.25">
      <c r="A11" s="48" t="s">
        <v>28</v>
      </c>
      <c r="B11" s="67">
        <v>23.4</v>
      </c>
      <c r="C11" s="4">
        <v>39.4</v>
      </c>
      <c r="D11" s="4">
        <v>12.3</v>
      </c>
      <c r="E11" s="4">
        <v>4.7</v>
      </c>
      <c r="F11" s="140">
        <v>20.2</v>
      </c>
      <c r="G11" s="36">
        <f>AVERAGE((B11-$B$20)^2, (C11-$C$20)^2, (D11-$D$20)^2, (E11-$E$20)^2)</f>
        <v>66.524999999999991</v>
      </c>
      <c r="H11" s="37">
        <f t="shared" si="0"/>
        <v>8.156285919461137</v>
      </c>
      <c r="I11" s="36">
        <f>AVERAGE((B11-$B$20)^2, (C11-$C$20)^2, (D11-$D$20)^2, (E11-$E$20)^2,(F11-$F$20)^2)</f>
        <v>113.77199999999998</v>
      </c>
      <c r="J11" s="37">
        <f t="shared" si="1"/>
        <v>10.666395829894931</v>
      </c>
      <c r="K11" s="34">
        <f>AVERAGE((B11-$B$2)^2,(C11-$C$2)^2,(D11-$D$2)^2,(E11-$E$2)^2,(F11-$F$2)^2)</f>
        <v>94.623999999999981</v>
      </c>
      <c r="L11" s="35">
        <f t="shared" si="2"/>
        <v>9.7274868285698535</v>
      </c>
    </row>
    <row r="12" spans="1:12" x14ac:dyDescent="0.25">
      <c r="A12" s="48" t="s">
        <v>29</v>
      </c>
      <c r="B12" s="67">
        <v>22</v>
      </c>
      <c r="C12" s="4">
        <v>41</v>
      </c>
      <c r="D12" s="4">
        <v>12.3</v>
      </c>
      <c r="E12" s="4">
        <v>4.5</v>
      </c>
      <c r="F12" s="140">
        <v>20.2</v>
      </c>
      <c r="G12" s="36">
        <f>AVERAGE((B12-$B$20)^2, (C12-$C$20)^2, (D12-$D$20)^2, (E12-$E$20)^2)</f>
        <v>82.214999999999989</v>
      </c>
      <c r="H12" s="37">
        <f t="shared" si="0"/>
        <v>9.0672487558244477</v>
      </c>
      <c r="I12" s="36">
        <f>AVERAGE((B12-$B$20)^2, (C12-$C$20)^2, (D12-$D$20)^2, (E12-$E$20)^2,(F12-$F$20)^2)</f>
        <v>126.32399999999998</v>
      </c>
      <c r="J12" s="37">
        <f t="shared" si="1"/>
        <v>11.239395001511424</v>
      </c>
      <c r="K12" s="36">
        <f>AVERAGE((B12-$B$2)^2,(C12-$C$2)^2,(D12-$D$2)^2,(E12-$E$2)^2,(F12-$F$2)^2)</f>
        <v>109.93599999999999</v>
      </c>
      <c r="L12" s="37">
        <f t="shared" si="2"/>
        <v>10.485036957493282</v>
      </c>
    </row>
    <row r="13" spans="1:12" x14ac:dyDescent="0.25">
      <c r="A13" s="48" t="s">
        <v>65</v>
      </c>
      <c r="B13" s="191">
        <v>35.549999999999997</v>
      </c>
      <c r="C13" s="12">
        <v>24.04</v>
      </c>
      <c r="D13" s="12">
        <v>14.7</v>
      </c>
      <c r="E13" s="12">
        <v>10.199999999999999</v>
      </c>
      <c r="F13" s="192">
        <v>15.51</v>
      </c>
      <c r="G13" s="36">
        <f>AVERAGE((B13-$B$20)^2, (C13-$C$20)^2, (D13-$D$20)^2, (E13-$E$20)^2)</f>
        <v>23.453525000000006</v>
      </c>
      <c r="H13" s="37">
        <f t="shared" ref="H13:H14" si="6">SQRT(G13)</f>
        <v>4.8428839548351768</v>
      </c>
      <c r="I13" s="36">
        <f>AVERAGE((B13-$B$20)^2, (C13-$C$20)^2, (D13-$D$20)^2, (E13-$E$20)^2,(F13-$F$20)^2)</f>
        <v>51.071640000000009</v>
      </c>
      <c r="J13" s="37">
        <f t="shared" ref="J13:J14" si="7">SQRT(I13)</f>
        <v>7.1464424716078145</v>
      </c>
      <c r="K13" s="36">
        <f>AVERAGE((B13-$B$2)^2,(C13-$C$2)^2,(D13-$D$2)^2,(E13-$E$2)^2,(F13-$F$2)^2)</f>
        <v>14.694040000000005</v>
      </c>
      <c r="L13" s="37">
        <f t="shared" ref="L13:L14" si="8">SQRT(K13)</f>
        <v>3.8332805793471478</v>
      </c>
    </row>
    <row r="14" spans="1:12" x14ac:dyDescent="0.25">
      <c r="A14" s="48" t="s">
        <v>66</v>
      </c>
      <c r="B14" s="67">
        <v>23.3</v>
      </c>
      <c r="C14" s="4">
        <v>35.67</v>
      </c>
      <c r="D14" s="4">
        <v>11.65</v>
      </c>
      <c r="E14" s="4">
        <v>16.68</v>
      </c>
      <c r="F14" s="140">
        <v>12.7</v>
      </c>
      <c r="G14" s="36">
        <f>AVERAGE((B14-$B$20)^2, (C14-$C$20)^2, (D14-$D$20)^2, (E14-$E$20)^2)</f>
        <v>52.885949999999987</v>
      </c>
      <c r="H14" s="37">
        <f t="shared" si="6"/>
        <v>7.2722726846564267</v>
      </c>
      <c r="I14" s="36">
        <f>AVERAGE((B14-$B$20)^2, (C14-$C$20)^2, (D14-$D$20)^2, (E14-$E$20)^2,(F14-$F$20)^2)</f>
        <v>61.910759999999982</v>
      </c>
      <c r="J14" s="37">
        <f t="shared" si="7"/>
        <v>7.868339087761786</v>
      </c>
      <c r="K14" s="36">
        <f>AVERAGE((B14-$B$2)^2,(C14-$C$2)^2,(D14-$D$2)^2,(E14-$E$2)^2,(F14-$F$2)^2)</f>
        <v>49.185159999999982</v>
      </c>
      <c r="L14" s="37">
        <f t="shared" si="8"/>
        <v>7.0132132435852812</v>
      </c>
    </row>
    <row r="15" spans="1:12" x14ac:dyDescent="0.25">
      <c r="A15" s="50" t="s">
        <v>16</v>
      </c>
      <c r="B15" s="73">
        <v>33.4</v>
      </c>
      <c r="C15" s="5">
        <v>26.1</v>
      </c>
      <c r="D15" s="5">
        <v>18.399999999999999</v>
      </c>
      <c r="E15" s="5">
        <v>14.6</v>
      </c>
      <c r="F15" s="144">
        <v>7.5</v>
      </c>
      <c r="G15" s="53">
        <f>AVERAGE((B15-$B$20)^2, (C15-$C$20)^2, (D15-$D$20)^2, (E15-$E$20)^2)</f>
        <v>20.032499999999992</v>
      </c>
      <c r="H15" s="54">
        <f t="shared" si="0"/>
        <v>4.4757680905069233</v>
      </c>
      <c r="I15" s="40">
        <f>AVERAGE((B15-$B$20)^2, (C15-$C$20)^2, (D15-$D$20)^2, (E15-$E$20)^2,(F15-$F$20)^2)</f>
        <v>20.443999999999996</v>
      </c>
      <c r="J15" s="41">
        <f t="shared" si="1"/>
        <v>4.5215041744976858</v>
      </c>
      <c r="K15" s="40">
        <f>AVERAGE((B15-$B$2)^2,(C15-$C$2)^2,(D15-$D$2)^2,(E15-$E$2)^2,(F15-$F$2)^2)</f>
        <v>4.6119999999999965</v>
      </c>
      <c r="L15" s="41">
        <f t="shared" si="2"/>
        <v>2.1475567512873779</v>
      </c>
    </row>
    <row r="16" spans="1:12" x14ac:dyDescent="0.25">
      <c r="A16" s="50" t="s">
        <v>17</v>
      </c>
      <c r="B16" s="73">
        <v>33.200000000000003</v>
      </c>
      <c r="C16" s="5">
        <v>27.8</v>
      </c>
      <c r="D16" s="5">
        <v>17</v>
      </c>
      <c r="E16" s="5">
        <v>14.5</v>
      </c>
      <c r="F16" s="145">
        <v>7.4</v>
      </c>
      <c r="G16" s="53">
        <f>AVERAGE((B16-$B$20)^2, (C16-$C$20)^2, (D16-$D$20)^2, (E16-$E$20)^2)</f>
        <v>12.967499999999992</v>
      </c>
      <c r="H16" s="54">
        <f t="shared" si="0"/>
        <v>3.6010415160061666</v>
      </c>
      <c r="I16" s="40">
        <f>AVERAGE((B16-$B$20)^2, (C16-$C$20)^2, (D16-$D$20)^2, (E16-$E$20)^2,(F16-$F$20)^2)</f>
        <v>14.605999999999995</v>
      </c>
      <c r="J16" s="41">
        <f t="shared" si="1"/>
        <v>3.8217796901443699</v>
      </c>
      <c r="K16" s="42">
        <f>AVERAGE((B16-$B$2)^2,(C16-$C$2)^2,(D16-$D$2)^2,(E16-$E$2)^2,(F16-$F$2)^2)</f>
        <v>2.4739999999999949</v>
      </c>
      <c r="L16" s="59">
        <f t="shared" si="2"/>
        <v>1.5728954192825393</v>
      </c>
    </row>
    <row r="17" spans="1:12" x14ac:dyDescent="0.25">
      <c r="A17" s="50" t="s">
        <v>19</v>
      </c>
      <c r="B17" s="73">
        <v>37.6</v>
      </c>
      <c r="C17" s="5">
        <v>27.5</v>
      </c>
      <c r="D17" s="5">
        <v>14.7</v>
      </c>
      <c r="E17" s="5">
        <v>12.8</v>
      </c>
      <c r="F17" s="145">
        <v>7.5</v>
      </c>
      <c r="G17" s="53">
        <f>AVERAGE((B17-$B$20)^2, (C17-$C$20)^2, (D17-$D$20)^2, (E17-$E$20)^2)</f>
        <v>9.6100000000000012</v>
      </c>
      <c r="H17" s="54">
        <f t="shared" si="0"/>
        <v>3.1</v>
      </c>
      <c r="I17" s="40">
        <f>AVERAGE((B17-$B$20)^2, (C17-$C$20)^2, (D17-$D$20)^2, (E17-$E$20)^2,(F17-$F$20)^2)</f>
        <v>12.106000000000002</v>
      </c>
      <c r="J17" s="41">
        <f t="shared" si="1"/>
        <v>3.4793677586596106</v>
      </c>
      <c r="K17" s="40">
        <f>AVERAGE((B17-$B$2)^2,(C17-$C$2)^2,(D17-$D$2)^2,(E17-$E$2)^2,(F17-$F$2)^2)</f>
        <v>1.4660000000000046</v>
      </c>
      <c r="L17" s="41">
        <f t="shared" si="2"/>
        <v>1.2107848694132268</v>
      </c>
    </row>
    <row r="18" spans="1:12" x14ac:dyDescent="0.25">
      <c r="A18" s="51" t="s">
        <v>30</v>
      </c>
      <c r="B18" s="72">
        <v>34.5</v>
      </c>
      <c r="C18" s="26">
        <v>28.2</v>
      </c>
      <c r="D18" s="26">
        <v>17.100000000000001</v>
      </c>
      <c r="E18" s="26">
        <v>13.6</v>
      </c>
      <c r="F18" s="148">
        <v>6.5</v>
      </c>
      <c r="G18" s="55">
        <f>AVERAGE((B18-$B$20)^2, (C18-$C$20)^2, (D18-$D$20)^2, (E18-$E$20)^2)</f>
        <v>9.375</v>
      </c>
      <c r="H18" s="56">
        <f t="shared" si="0"/>
        <v>3.0618621784789726</v>
      </c>
      <c r="I18" s="42">
        <f>AVERAGE((B18-$B$20)^2, (C18-$C$20)^2, (D18-$D$20)^2, (E18-$E$20)^2,(F18-$F$20)^2)</f>
        <v>10.238</v>
      </c>
      <c r="J18" s="43">
        <f t="shared" si="1"/>
        <v>3.1996874847397208</v>
      </c>
      <c r="K18" s="40">
        <f>AVERAGE((B18-$B$2)^2,(C18-$C$2)^2,(D18-$D$2)^2,(E18-$E$2)^2,(F18-$F$2)^2)</f>
        <v>1.7779999999999994</v>
      </c>
      <c r="L18" s="41">
        <f t="shared" si="2"/>
        <v>1.3334166640626626</v>
      </c>
    </row>
    <row r="19" spans="1:12" ht="15.75" thickBot="1" x14ac:dyDescent="0.3">
      <c r="A19" s="52" t="s">
        <v>31</v>
      </c>
      <c r="B19" s="146">
        <v>34.4</v>
      </c>
      <c r="C19" s="18">
        <v>29.3</v>
      </c>
      <c r="D19" s="18">
        <v>16.3</v>
      </c>
      <c r="E19" s="18">
        <v>13.8</v>
      </c>
      <c r="F19" s="147">
        <v>6.2</v>
      </c>
      <c r="G19" s="57">
        <f>AVERAGE((B19-$B$20)^2, (C19-$C$20)^2, (D19-$D$20)^2, (E19-$E$20)^2)</f>
        <v>6.4699999999999989</v>
      </c>
      <c r="H19" s="58">
        <f t="shared" si="0"/>
        <v>2.5436194683953808</v>
      </c>
      <c r="I19" s="44">
        <f>AVERAGE((B19-$B$20)^2, (C19-$C$20)^2, (D19-$D$20)^2, (E19-$E$20)^2,(F19-$F$20)^2)</f>
        <v>7.4879999999999995</v>
      </c>
      <c r="J19" s="45">
        <f t="shared" si="1"/>
        <v>2.7364210202379309</v>
      </c>
      <c r="K19" s="163">
        <f>AVERAGE((B19-$B$2)^2,(C19-$C$2)^2,(D19-$D$2)^2,(E19-$E$2)^2,(F19-$F$2)^2)</f>
        <v>1.9079999999999999</v>
      </c>
      <c r="L19" s="164">
        <f t="shared" si="2"/>
        <v>1.3813037319865606</v>
      </c>
    </row>
    <row r="20" spans="1:12" ht="15.75" thickBot="1" x14ac:dyDescent="0.3">
      <c r="A20" s="119" t="s">
        <v>32</v>
      </c>
      <c r="B20" s="132">
        <v>36.4</v>
      </c>
      <c r="C20" s="133">
        <v>33.5</v>
      </c>
      <c r="D20" s="133">
        <v>15.3</v>
      </c>
      <c r="E20" s="133">
        <v>12</v>
      </c>
      <c r="F20" s="134">
        <v>2.8</v>
      </c>
      <c r="K20" s="165">
        <f>AVERAGE((B20-$B$2)^2,(C20-$C$2)^2,(D20-$D$2)^2,(E20-$E$2)^2,(F20-$F$2)^2)</f>
        <v>12.219999999999999</v>
      </c>
      <c r="L20" s="166">
        <f t="shared" si="2"/>
        <v>3.4957116585897068</v>
      </c>
    </row>
    <row r="22" spans="1:12" x14ac:dyDescent="0.25">
      <c r="A22" s="28" t="s">
        <v>25</v>
      </c>
      <c r="B22" s="1" t="s">
        <v>0</v>
      </c>
      <c r="C22" s="1" t="s">
        <v>1</v>
      </c>
      <c r="D22" s="1" t="s">
        <v>2</v>
      </c>
      <c r="E22" s="1" t="s">
        <v>3</v>
      </c>
      <c r="F22" s="1" t="s">
        <v>70</v>
      </c>
      <c r="G22" s="1" t="s">
        <v>71</v>
      </c>
    </row>
    <row r="23" spans="1:12" x14ac:dyDescent="0.25">
      <c r="A23" s="46" t="s">
        <v>26</v>
      </c>
      <c r="B23" s="2">
        <v>25</v>
      </c>
      <c r="C23" s="2">
        <v>20</v>
      </c>
      <c r="D23" s="2">
        <v>8</v>
      </c>
      <c r="E23" s="2">
        <v>8</v>
      </c>
      <c r="F23" s="2">
        <f>AVERAGE((B23-$B$41)^2, (C23-$C$41)^2, (D23-$D$41)^2, (E23-$E$41)^2)</f>
        <v>1.5</v>
      </c>
      <c r="G23" s="8">
        <f>SQRT(F23)</f>
        <v>1.2247448713915889</v>
      </c>
    </row>
    <row r="24" spans="1:12" x14ac:dyDescent="0.25">
      <c r="A24" s="4" t="s">
        <v>4</v>
      </c>
      <c r="B24" s="4">
        <v>22</v>
      </c>
      <c r="C24" s="4">
        <v>18</v>
      </c>
      <c r="D24" s="4">
        <v>12</v>
      </c>
      <c r="E24" s="4">
        <v>9</v>
      </c>
      <c r="F24" s="12">
        <f t="shared" ref="F24:F40" si="9">AVERAGE((B24-$B$42)^2, (C24-$C$42)^2, (D24-$D$42)^2, (E24-$E$42)^2)</f>
        <v>258.25</v>
      </c>
      <c r="G24" s="6">
        <f t="shared" ref="G24:G40" si="10">SQRT(F24)</f>
        <v>16.070158679988197</v>
      </c>
      <c r="J24" t="s">
        <v>50</v>
      </c>
    </row>
    <row r="25" spans="1:12" x14ac:dyDescent="0.25">
      <c r="A25" s="4" t="s">
        <v>5</v>
      </c>
      <c r="B25" s="4">
        <v>22</v>
      </c>
      <c r="C25" s="4">
        <v>18</v>
      </c>
      <c r="D25" s="4">
        <v>12</v>
      </c>
      <c r="E25" s="4">
        <v>9</v>
      </c>
      <c r="F25" s="12">
        <f t="shared" si="9"/>
        <v>258.25</v>
      </c>
      <c r="G25" s="6">
        <f>SQRT(F25)</f>
        <v>16.070158679988197</v>
      </c>
    </row>
    <row r="26" spans="1:12" x14ac:dyDescent="0.25">
      <c r="A26" s="4" t="s">
        <v>6</v>
      </c>
      <c r="B26" s="4">
        <v>17</v>
      </c>
      <c r="C26" s="4">
        <v>31</v>
      </c>
      <c r="D26" s="4">
        <v>8</v>
      </c>
      <c r="E26" s="4">
        <v>5</v>
      </c>
      <c r="F26" s="12">
        <f t="shared" si="9"/>
        <v>334.75</v>
      </c>
      <c r="G26" s="6">
        <f>SQRT(F26)</f>
        <v>18.296174463531987</v>
      </c>
    </row>
    <row r="27" spans="1:12" x14ac:dyDescent="0.25">
      <c r="A27" s="4" t="s">
        <v>7</v>
      </c>
      <c r="B27" s="4">
        <v>17</v>
      </c>
      <c r="C27" s="4">
        <v>31</v>
      </c>
      <c r="D27" s="4">
        <v>8</v>
      </c>
      <c r="E27" s="4">
        <v>5</v>
      </c>
      <c r="F27" s="12">
        <f t="shared" si="9"/>
        <v>334.75</v>
      </c>
      <c r="G27" s="6">
        <f>SQRT(F27)</f>
        <v>18.296174463531987</v>
      </c>
    </row>
    <row r="28" spans="1:12" x14ac:dyDescent="0.25">
      <c r="A28" s="16" t="s">
        <v>8</v>
      </c>
      <c r="B28" s="16">
        <v>24</v>
      </c>
      <c r="C28" s="16">
        <v>19</v>
      </c>
      <c r="D28" s="16">
        <v>10</v>
      </c>
      <c r="E28" s="16">
        <v>8</v>
      </c>
      <c r="F28" s="17">
        <f t="shared" si="9"/>
        <v>275.25</v>
      </c>
      <c r="G28" s="10">
        <f>SQRT(F28)</f>
        <v>16.590660023037056</v>
      </c>
    </row>
    <row r="29" spans="1:12" x14ac:dyDescent="0.25">
      <c r="A29" s="4" t="s">
        <v>9</v>
      </c>
      <c r="B29" s="4">
        <v>21</v>
      </c>
      <c r="C29" s="4">
        <v>20</v>
      </c>
      <c r="D29" s="4">
        <v>9</v>
      </c>
      <c r="E29" s="4">
        <v>11</v>
      </c>
      <c r="F29" s="12">
        <f t="shared" si="9"/>
        <v>260.75</v>
      </c>
      <c r="G29" s="6">
        <f t="shared" si="10"/>
        <v>16.147755261955144</v>
      </c>
    </row>
    <row r="30" spans="1:12" x14ac:dyDescent="0.25">
      <c r="A30" s="4" t="s">
        <v>67</v>
      </c>
      <c r="B30" s="4">
        <v>23</v>
      </c>
      <c r="C30" s="4">
        <v>19</v>
      </c>
      <c r="D30" s="4">
        <v>11</v>
      </c>
      <c r="E30" s="4">
        <v>8</v>
      </c>
      <c r="F30" s="12">
        <f t="shared" si="9"/>
        <v>268.75</v>
      </c>
      <c r="G30" s="6">
        <f>SQRT(F30)</f>
        <v>16.393596310755001</v>
      </c>
    </row>
    <row r="31" spans="1:12" x14ac:dyDescent="0.25">
      <c r="A31" s="4" t="s">
        <v>11</v>
      </c>
      <c r="B31" s="4">
        <v>23</v>
      </c>
      <c r="C31" s="4">
        <v>19</v>
      </c>
      <c r="D31" s="4">
        <v>11</v>
      </c>
      <c r="E31" s="4">
        <v>8</v>
      </c>
      <c r="F31" s="12">
        <f t="shared" si="9"/>
        <v>268.75</v>
      </c>
      <c r="G31" s="6">
        <f>SQRT(F31)</f>
        <v>16.393596310755001</v>
      </c>
    </row>
    <row r="32" spans="1:12" x14ac:dyDescent="0.25">
      <c r="A32" s="4" t="s">
        <v>12</v>
      </c>
      <c r="B32" s="4">
        <v>18</v>
      </c>
      <c r="C32" s="4">
        <v>31</v>
      </c>
      <c r="D32" s="4">
        <v>9</v>
      </c>
      <c r="E32" s="4">
        <v>3</v>
      </c>
      <c r="F32" s="12">
        <f t="shared" si="9"/>
        <v>343.75</v>
      </c>
      <c r="G32" s="6">
        <f t="shared" si="10"/>
        <v>18.540496217739157</v>
      </c>
    </row>
    <row r="33" spans="1:7" x14ac:dyDescent="0.25">
      <c r="A33" s="4" t="s">
        <v>13</v>
      </c>
      <c r="B33" s="4">
        <v>17</v>
      </c>
      <c r="C33" s="4">
        <v>32</v>
      </c>
      <c r="D33" s="4">
        <v>9</v>
      </c>
      <c r="E33" s="4">
        <v>3</v>
      </c>
      <c r="F33" s="12">
        <f t="shared" si="9"/>
        <v>350.75</v>
      </c>
      <c r="G33" s="6">
        <f t="shared" si="10"/>
        <v>18.728320800328042</v>
      </c>
    </row>
    <row r="34" spans="1:7" x14ac:dyDescent="0.25">
      <c r="A34" s="4" t="s">
        <v>14</v>
      </c>
      <c r="B34" s="4">
        <v>26</v>
      </c>
      <c r="C34" s="4">
        <v>17</v>
      </c>
      <c r="D34" s="4">
        <v>11</v>
      </c>
      <c r="E34" s="4">
        <v>7</v>
      </c>
      <c r="F34" s="12">
        <f t="shared" si="9"/>
        <v>283.75</v>
      </c>
      <c r="G34" s="6">
        <f t="shared" si="10"/>
        <v>16.844880527923017</v>
      </c>
    </row>
    <row r="35" spans="1:7" x14ac:dyDescent="0.25">
      <c r="A35" s="4" t="s">
        <v>15</v>
      </c>
      <c r="B35" s="4">
        <v>16</v>
      </c>
      <c r="C35" s="4">
        <v>25</v>
      </c>
      <c r="D35" s="4">
        <v>8</v>
      </c>
      <c r="E35" s="4">
        <v>12</v>
      </c>
      <c r="F35" s="12">
        <f t="shared" si="9"/>
        <v>272.25</v>
      </c>
      <c r="G35" s="6">
        <f t="shared" si="10"/>
        <v>16.5</v>
      </c>
    </row>
    <row r="36" spans="1:7" x14ac:dyDescent="0.25">
      <c r="A36" s="5" t="s">
        <v>16</v>
      </c>
      <c r="B36" s="5">
        <v>22</v>
      </c>
      <c r="C36" s="5">
        <v>17</v>
      </c>
      <c r="D36" s="5">
        <v>12</v>
      </c>
      <c r="E36" s="5">
        <v>10</v>
      </c>
      <c r="F36" s="7">
        <f t="shared" si="9"/>
        <v>254.25</v>
      </c>
      <c r="G36" s="9">
        <f t="shared" si="10"/>
        <v>15.945218719101975</v>
      </c>
    </row>
    <row r="37" spans="1:7" x14ac:dyDescent="0.25">
      <c r="A37" s="5" t="s">
        <v>17</v>
      </c>
      <c r="B37" s="5">
        <v>22</v>
      </c>
      <c r="C37" s="5">
        <v>19</v>
      </c>
      <c r="D37" s="5">
        <v>11</v>
      </c>
      <c r="E37" s="5">
        <v>9</v>
      </c>
      <c r="F37" s="7">
        <f t="shared" si="9"/>
        <v>261.75</v>
      </c>
      <c r="G37" s="9">
        <f t="shared" si="10"/>
        <v>16.178689687363438</v>
      </c>
    </row>
    <row r="38" spans="1:7" x14ac:dyDescent="0.25">
      <c r="A38" s="18" t="s">
        <v>19</v>
      </c>
      <c r="B38" s="18">
        <v>25</v>
      </c>
      <c r="C38" s="18">
        <v>18</v>
      </c>
      <c r="D38" s="18">
        <v>10</v>
      </c>
      <c r="E38" s="18">
        <v>8</v>
      </c>
      <c r="F38" s="11">
        <f t="shared" si="9"/>
        <v>278.25</v>
      </c>
      <c r="G38" s="20">
        <f t="shared" si="10"/>
        <v>16.680827317612277</v>
      </c>
    </row>
    <row r="39" spans="1:7" x14ac:dyDescent="0.25">
      <c r="A39" s="5" t="s">
        <v>20</v>
      </c>
      <c r="B39" s="5">
        <v>23</v>
      </c>
      <c r="C39" s="5">
        <v>18</v>
      </c>
      <c r="D39" s="5">
        <v>11</v>
      </c>
      <c r="E39" s="5">
        <v>9</v>
      </c>
      <c r="F39" s="7">
        <f t="shared" si="9"/>
        <v>263.75</v>
      </c>
      <c r="G39" s="9">
        <f t="shared" si="10"/>
        <v>16.240381768911714</v>
      </c>
    </row>
    <row r="40" spans="1:7" x14ac:dyDescent="0.25">
      <c r="A40" s="5" t="s">
        <v>21</v>
      </c>
      <c r="B40" s="5">
        <v>23</v>
      </c>
      <c r="C40" s="5">
        <v>19</v>
      </c>
      <c r="D40" s="5">
        <v>10</v>
      </c>
      <c r="E40" s="5">
        <v>9</v>
      </c>
      <c r="F40" s="11">
        <f t="shared" si="9"/>
        <v>267.75</v>
      </c>
      <c r="G40" s="20">
        <f t="shared" si="10"/>
        <v>16.363068171953572</v>
      </c>
    </row>
    <row r="41" spans="1:7" x14ac:dyDescent="0.25">
      <c r="A41" s="119" t="s">
        <v>32</v>
      </c>
      <c r="B41" s="3">
        <v>25</v>
      </c>
      <c r="C41" s="3">
        <v>21</v>
      </c>
      <c r="D41" s="3">
        <v>9</v>
      </c>
      <c r="E41" s="3">
        <v>6</v>
      </c>
    </row>
  </sheetData>
  <mergeCells count="1"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44ED-7D6B-4A82-BA9A-81FD5421C0F2}">
  <dimension ref="A1:M41"/>
  <sheetViews>
    <sheetView zoomScale="115" zoomScaleNormal="115" workbookViewId="0">
      <selection activeCell="A41" sqref="A41"/>
    </sheetView>
  </sheetViews>
  <sheetFormatPr baseColWidth="10" defaultRowHeight="15" x14ac:dyDescent="0.25"/>
  <cols>
    <col min="1" max="1" width="45.5703125" customWidth="1"/>
  </cols>
  <sheetData>
    <row r="1" spans="1:12" ht="15.75" thickBot="1" x14ac:dyDescent="0.3">
      <c r="A1" s="28" t="s">
        <v>25</v>
      </c>
      <c r="B1" s="30" t="s">
        <v>0</v>
      </c>
      <c r="C1" s="120" t="s">
        <v>1</v>
      </c>
      <c r="D1" s="120" t="s">
        <v>2</v>
      </c>
      <c r="E1" s="120" t="s">
        <v>3</v>
      </c>
      <c r="F1" s="31" t="s">
        <v>68</v>
      </c>
      <c r="G1" s="30" t="s">
        <v>70</v>
      </c>
      <c r="H1" s="120" t="s">
        <v>71</v>
      </c>
      <c r="I1" s="120" t="s">
        <v>72</v>
      </c>
      <c r="J1" s="31" t="s">
        <v>73</v>
      </c>
      <c r="K1" s="241" t="s">
        <v>69</v>
      </c>
      <c r="L1" s="242"/>
    </row>
    <row r="2" spans="1:12" ht="15.75" thickBot="1" x14ac:dyDescent="0.3">
      <c r="A2" s="64" t="s">
        <v>26</v>
      </c>
      <c r="B2" s="157">
        <v>32.299999999999997</v>
      </c>
      <c r="C2" s="63">
        <v>27.7</v>
      </c>
      <c r="D2" s="63">
        <v>16.5</v>
      </c>
      <c r="E2" s="63">
        <v>15</v>
      </c>
      <c r="F2" s="158">
        <v>8.5</v>
      </c>
      <c r="G2" s="65">
        <v>6.7000000000000064</v>
      </c>
      <c r="H2" s="66">
        <v>2.5884358211089582</v>
      </c>
      <c r="I2" s="65">
        <v>13.298000000000005</v>
      </c>
      <c r="J2" s="149">
        <v>3.6466422912043353</v>
      </c>
      <c r="K2" s="120" t="s">
        <v>72</v>
      </c>
      <c r="L2" s="31" t="s">
        <v>73</v>
      </c>
    </row>
    <row r="3" spans="1:12" x14ac:dyDescent="0.25">
      <c r="A3" s="202" t="s">
        <v>4</v>
      </c>
      <c r="B3" s="210">
        <v>31.33</v>
      </c>
      <c r="C3" s="211">
        <v>26.03</v>
      </c>
      <c r="D3" s="211">
        <v>17.54</v>
      </c>
      <c r="E3" s="211">
        <v>16.940000000000001</v>
      </c>
      <c r="F3" s="212">
        <v>8.16</v>
      </c>
      <c r="G3" s="203">
        <f>AVERAGE((B3-$B$20)^2, (C3-$C$20)^2, (D3-$D$20)^2, (E3-$E$20)^2)</f>
        <v>14.000750000000002</v>
      </c>
      <c r="H3" s="204">
        <f>SQRT(G3)</f>
        <v>3.7417576083974229</v>
      </c>
      <c r="I3" s="203">
        <f>AVERAGE((B3-$B$20)^2,(C3-$C$20)^2,(D3-$D$20)^2,(E3-$E$20)^2,(F3-$F$20)^2)</f>
        <v>18.304920000000003</v>
      </c>
      <c r="J3" s="205">
        <f>SQRT(I3)</f>
        <v>4.27842494383155</v>
      </c>
      <c r="K3" s="203">
        <f>AVERAGE((B3-$B$2)^2,(C3-$C$2)^2,(D3-$D$2)^2,(E3-$E$2)^2,(F3-$F$2)^2)</f>
        <v>1.7381199999999992</v>
      </c>
      <c r="L3" s="205">
        <f>SQRT(K3)</f>
        <v>1.3183777910750769</v>
      </c>
    </row>
    <row r="4" spans="1:12" x14ac:dyDescent="0.25">
      <c r="A4" s="150" t="s">
        <v>5</v>
      </c>
      <c r="B4" s="191">
        <v>32.270000000000003</v>
      </c>
      <c r="C4" s="12">
        <v>25.41</v>
      </c>
      <c r="D4" s="12">
        <v>17.47</v>
      </c>
      <c r="E4" s="12">
        <v>16.75</v>
      </c>
      <c r="F4" s="192">
        <v>8.1</v>
      </c>
      <c r="G4" s="36">
        <f>AVERAGE((B4-$B$20)^2, (C4-$C$20)^2, (D4-$D$20)^2, (E4-$E$20)^2)</f>
        <v>14.302099999999999</v>
      </c>
      <c r="H4" s="60">
        <f t="shared" ref="H4:H19" si="0">SQRT(G4)</f>
        <v>3.7818117351343652</v>
      </c>
      <c r="I4" s="36">
        <f>AVERAGE((B4-$B$20)^2,(C4-$C$20)^2,(D4-$D$20)^2,(E4-$E$20)^2,(F4-$F$20)^2)</f>
        <v>18.403679999999998</v>
      </c>
      <c r="J4" s="37">
        <f t="shared" ref="J4:J19" si="1">SQRT(I4)</f>
        <v>4.2899510486717674</v>
      </c>
      <c r="K4" s="36">
        <f>AVERAGE((B4-$B$2)^2,(C4-$C$2)^2,(D4-$D$2)^2,(E4-$E$2)^2,(F4-$F$2)^2)</f>
        <v>1.8816799999999987</v>
      </c>
      <c r="L4" s="37">
        <f t="shared" ref="L4:L20" si="2">SQRT(K4)</f>
        <v>1.3717434162408066</v>
      </c>
    </row>
    <row r="5" spans="1:12" x14ac:dyDescent="0.25">
      <c r="A5" s="150" t="s">
        <v>6</v>
      </c>
      <c r="B5" s="191">
        <v>22.5</v>
      </c>
      <c r="C5" s="12">
        <v>34.51</v>
      </c>
      <c r="D5" s="12">
        <v>10.9</v>
      </c>
      <c r="E5" s="12">
        <v>9.4</v>
      </c>
      <c r="F5" s="192">
        <v>22.7</v>
      </c>
      <c r="G5" s="36">
        <f>AVERAGE((B5-$B$20)^2, (C5-$C$20)^2, (D5-$D$20)^2, (E5-$E$20)^2)</f>
        <v>54.062024999999984</v>
      </c>
      <c r="H5" s="60">
        <f t="shared" si="0"/>
        <v>7.3526882838863763</v>
      </c>
      <c r="I5" s="36">
        <f>AVERAGE((B5-$B$20)^2,(C5-$C$20)^2,(D5-$D$20)^2,(E5-$E$20)^2,(F5-$F$20)^2)</f>
        <v>127.29961999999998</v>
      </c>
      <c r="J5" s="37">
        <f t="shared" si="1"/>
        <v>11.282713326146331</v>
      </c>
      <c r="K5" s="36">
        <f>AVERAGE((B5-$B$2)^2,(C5-$C$2)^2,(D5-$D$2)^2,(E5-$E$2)^2,(F5-$F$2)^2)</f>
        <v>81.355219999999974</v>
      </c>
      <c r="L5" s="37">
        <f t="shared" si="2"/>
        <v>9.01971285573992</v>
      </c>
    </row>
    <row r="6" spans="1:12" x14ac:dyDescent="0.25">
      <c r="A6" s="150" t="s">
        <v>7</v>
      </c>
      <c r="B6" s="191">
        <v>22.97</v>
      </c>
      <c r="C6" s="12">
        <v>34.619999999999997</v>
      </c>
      <c r="D6" s="12">
        <v>11.13</v>
      </c>
      <c r="E6" s="12">
        <v>9.5399999999999991</v>
      </c>
      <c r="F6" s="192">
        <v>21.74</v>
      </c>
      <c r="G6" s="36">
        <f>AVERAGE((B6-$B$20)^2, (C6-$C$20)^2, (D6-$D$20)^2, (E6-$E$20)^2)</f>
        <v>50.398949999999985</v>
      </c>
      <c r="H6" s="60">
        <f t="shared" si="0"/>
        <v>7.0992217883370836</v>
      </c>
      <c r="I6" s="36">
        <f>AVERAGE((B6-$B$20)^2,(C6-$C$20)^2,(D6-$D$20)^2,(E6-$E$20)^2,(F6-$F$20)^2)</f>
        <v>116.68147999999997</v>
      </c>
      <c r="J6" s="37">
        <f t="shared" si="1"/>
        <v>10.801920199668203</v>
      </c>
      <c r="K6" s="36">
        <f>AVERAGE((B6-$B$2)^2,(C6-$C$2)^2,(D6-$D$2)^2,(E6-$E$2)^2,(F6-$F$2)^2)</f>
        <v>73.776279999999971</v>
      </c>
      <c r="L6" s="37">
        <f t="shared" si="2"/>
        <v>8.5893119631318537</v>
      </c>
    </row>
    <row r="7" spans="1:12" x14ac:dyDescent="0.25">
      <c r="A7" s="150" t="s">
        <v>8</v>
      </c>
      <c r="B7" s="191">
        <v>34.450000000000003</v>
      </c>
      <c r="C7" s="12">
        <v>24.45</v>
      </c>
      <c r="D7" s="12">
        <v>13.2</v>
      </c>
      <c r="E7" s="12">
        <v>13.66</v>
      </c>
      <c r="F7" s="192">
        <v>14.24</v>
      </c>
      <c r="G7" s="36">
        <f>AVERAGE((B7-$B$20)^2, (C7-$C$20)^2, (D7-$D$20)^2, (E7-$E$20)^2)</f>
        <v>16.836650000000006</v>
      </c>
      <c r="H7" s="60">
        <f t="shared" si="0"/>
        <v>4.1032487129102968</v>
      </c>
      <c r="I7" s="36">
        <f>AVERAGE((B7-$B$20)^2,(C7-$C$20)^2,(D7-$D$20)^2,(E7-$E$20)^2,(F7-$F$20)^2)</f>
        <v>42.461640000000003</v>
      </c>
      <c r="J7" s="37">
        <f t="shared" si="1"/>
        <v>6.5162596633344814</v>
      </c>
      <c r="K7" s="36">
        <f>AVERAGE((B7-$B$2)^2,(C7-$C$2)^2,(D7-$D$2)^2,(E7-$E$2)^2,(F7-$F$2)^2)</f>
        <v>12.163640000000006</v>
      </c>
      <c r="L7" s="37">
        <f t="shared" si="2"/>
        <v>3.4876410365747228</v>
      </c>
    </row>
    <row r="8" spans="1:12" x14ac:dyDescent="0.25">
      <c r="A8" s="150" t="s">
        <v>9</v>
      </c>
      <c r="B8" s="191">
        <v>28.92</v>
      </c>
      <c r="C8" s="12">
        <v>27.37</v>
      </c>
      <c r="D8" s="12">
        <v>11.59</v>
      </c>
      <c r="E8" s="12">
        <v>18.34</v>
      </c>
      <c r="F8" s="192">
        <v>13.78</v>
      </c>
      <c r="G8" s="36">
        <f>AVERAGE((B8-$B$20)^2, (C8-$C$20)^2, (D8-$D$20)^2, (E8-$E$20)^2)</f>
        <v>21.221249999999991</v>
      </c>
      <c r="H8" s="60">
        <f t="shared" si="0"/>
        <v>4.6066527978565945</v>
      </c>
      <c r="I8" s="36">
        <f>AVERAGE((B8-$B$20)^2,(C8-$C$20)^2,(D8-$D$20)^2,(E8-$E$20)^2,(F8-$F$20)^2)</f>
        <v>43.796279999999982</v>
      </c>
      <c r="J8" s="37">
        <f t="shared" si="1"/>
        <v>6.617875792125445</v>
      </c>
      <c r="K8" s="36">
        <f>AVERAGE((B8-$B$2)^2,(C8-$C$2)^2,(D8-$D$2)^2,(E8-$E$2)^2,(F8-$F$2)^2)</f>
        <v>14.935079999999994</v>
      </c>
      <c r="L8" s="37">
        <f t="shared" si="2"/>
        <v>3.8645931221798748</v>
      </c>
    </row>
    <row r="9" spans="1:12" x14ac:dyDescent="0.25">
      <c r="A9" s="150" t="s">
        <v>10</v>
      </c>
      <c r="B9" s="191">
        <v>32.68</v>
      </c>
      <c r="C9" s="12">
        <v>25.35</v>
      </c>
      <c r="D9" s="12">
        <v>17.559999999999999</v>
      </c>
      <c r="E9" s="12">
        <v>16.11</v>
      </c>
      <c r="F9" s="192">
        <v>8.3000000000000007</v>
      </c>
      <c r="G9" s="36">
        <f>AVERAGE((B9-$B$20)^2, (C9-$C$20)^2, (D9-$D$20)^2, (E9-$E$20)^2)</f>
        <v>13.694649999999998</v>
      </c>
      <c r="H9" s="60">
        <f t="shared" si="0"/>
        <v>3.7006283250280618</v>
      </c>
      <c r="I9" s="36">
        <f>AVERAGE((B9-$B$20)^2,(C9-$C$20)^2,(D9-$D$20)^2,(E9-$E$20)^2,(F9-$F$20)^2)</f>
        <v>18.39772</v>
      </c>
      <c r="J9" s="37">
        <f t="shared" si="1"/>
        <v>4.2892563458016824</v>
      </c>
      <c r="K9" s="36">
        <f>AVERAGE((B9-$B$2)^2,(C9-$C$2)^2,(D9-$D$2)^2,(E9-$E$2)^2,(F9-$F$2)^2)</f>
        <v>1.6125199999999975</v>
      </c>
      <c r="L9" s="37">
        <f t="shared" si="2"/>
        <v>1.2698503848879197</v>
      </c>
    </row>
    <row r="10" spans="1:12" x14ac:dyDescent="0.25">
      <c r="A10" s="206" t="s">
        <v>11</v>
      </c>
      <c r="B10" s="207">
        <v>33.6</v>
      </c>
      <c r="C10" s="17">
        <v>24.9</v>
      </c>
      <c r="D10" s="17">
        <v>17.78</v>
      </c>
      <c r="E10" s="17">
        <v>16</v>
      </c>
      <c r="F10" s="208">
        <v>7.72</v>
      </c>
      <c r="G10" s="38">
        <f>AVERAGE((B10-$B$20)^2, (C10-$C$20)^2, (D10-$D$20)^2, (E10-$E$20)^2)</f>
        <v>14.624100000000009</v>
      </c>
      <c r="H10" s="209">
        <f t="shared" si="0"/>
        <v>3.8241469637031482</v>
      </c>
      <c r="I10" s="38">
        <f>AVERAGE((B10-$B$20)^2,(C10-$C$20)^2,(D10-$D$20)^2,(E10-$E$20)^2,(F10-$F$20)^2)</f>
        <v>17.793360000000007</v>
      </c>
      <c r="J10" s="39">
        <f t="shared" si="1"/>
        <v>4.2182176330767955</v>
      </c>
      <c r="K10" s="36">
        <f>AVERAGE((B10-$B$2)^2,(C10-$C$2)^2,(D10-$D$2)^2,(E10-$E$2)^2,(F10-$F$2)^2)</f>
        <v>2.5553600000000034</v>
      </c>
      <c r="L10" s="37">
        <f t="shared" si="2"/>
        <v>1.5985493423726411</v>
      </c>
    </row>
    <row r="11" spans="1:12" x14ac:dyDescent="0.25">
      <c r="A11" s="195" t="s">
        <v>12</v>
      </c>
      <c r="B11" s="196">
        <v>24.99</v>
      </c>
      <c r="C11" s="197">
        <v>33.9</v>
      </c>
      <c r="D11" s="197">
        <v>11.23</v>
      </c>
      <c r="E11" s="197">
        <v>5.55</v>
      </c>
      <c r="F11" s="198">
        <v>24.33</v>
      </c>
      <c r="G11" s="36">
        <f>AVERAGE((B11-$B$20)^2, (C11-$C$20)^2, (D11-$D$20)^2, (E11-$E$20)^2)</f>
        <v>53.637874999999994</v>
      </c>
      <c r="H11" s="60">
        <f t="shared" ref="H11:H13" si="3">SQRT(G11)</f>
        <v>7.3237882956841398</v>
      </c>
      <c r="I11" s="36">
        <f>AVERAGE((B11-$B$20)^2,(C11-$C$20)^2,(D11-$D$20)^2,(E11-$E$20)^2,(F11-$F$20)^2)</f>
        <v>140.85767999999999</v>
      </c>
      <c r="J11" s="37">
        <f t="shared" ref="J11:J13" si="4">SQRT(I11)</f>
        <v>11.868347820990079</v>
      </c>
      <c r="K11" s="36">
        <f>AVERAGE((B11-$B$2)^2,(C11-$C$2)^2,(D11-$D$2)^2,(E11-$E$2)^2,(F11-$F$2)^2)</f>
        <v>91.90807999999997</v>
      </c>
      <c r="L11" s="37">
        <f t="shared" ref="L11:L13" si="5">SQRT(K11)</f>
        <v>9.586870187918473</v>
      </c>
    </row>
    <row r="12" spans="1:12" x14ac:dyDescent="0.25">
      <c r="A12" s="195" t="s">
        <v>13</v>
      </c>
      <c r="B12" s="196">
        <v>23.48</v>
      </c>
      <c r="C12" s="197">
        <v>35.39</v>
      </c>
      <c r="D12" s="197">
        <v>10.26</v>
      </c>
      <c r="E12" s="197">
        <v>6.18</v>
      </c>
      <c r="F12" s="198">
        <v>24.69</v>
      </c>
      <c r="G12" s="36">
        <f>AVERAGE((B12-$B$20)^2, (C12-$C$20)^2, (D12-$D$20)^2, (E12-$E$20)^2)</f>
        <v>63.04862499999998</v>
      </c>
      <c r="H12" s="60">
        <f t="shared" si="3"/>
        <v>7.940316429462996</v>
      </c>
      <c r="I12" s="36">
        <f>AVERAGE((B12-$B$20)^2,(C12-$C$20)^2,(D12-$D$20)^2,(E12-$E$20)^2,(F12-$F$20)^2)</f>
        <v>151.59891999999999</v>
      </c>
      <c r="J12" s="37">
        <f t="shared" si="4"/>
        <v>12.312551319690002</v>
      </c>
      <c r="K12" s="36">
        <f>AVERAGE((B12-$B$2)^2,(C12-$C$2)^2,(D12-$D$2)^2,(E12-$E$2)^2,(F12-$F$2)^2)</f>
        <v>103.15491999999999</v>
      </c>
      <c r="L12" s="37">
        <f t="shared" si="5"/>
        <v>10.156521057921358</v>
      </c>
    </row>
    <row r="13" spans="1:12" x14ac:dyDescent="0.25">
      <c r="A13" s="195" t="s">
        <v>14</v>
      </c>
      <c r="B13" s="196">
        <v>24.16</v>
      </c>
      <c r="C13" s="197">
        <v>31.67</v>
      </c>
      <c r="D13" s="197">
        <v>12.29</v>
      </c>
      <c r="E13" s="197">
        <v>16.71</v>
      </c>
      <c r="F13" s="198">
        <v>15.17</v>
      </c>
      <c r="G13" s="36">
        <f>AVERAGE((B13-$B$20)^2, (C13-$C$20)^2, (D13-$D$20)^2, (E13-$E$20)^2)</f>
        <v>32.360174999999998</v>
      </c>
      <c r="H13" s="60">
        <f t="shared" si="3"/>
        <v>5.6886004429912278</v>
      </c>
      <c r="I13" s="36">
        <f>AVERAGE((B13-$B$20)^2,(C13-$C$20)^2,(D13-$D$20)^2,(E13-$E$20)^2,(F13-$F$20)^2)</f>
        <v>59.532319999999991</v>
      </c>
      <c r="J13" s="37">
        <f t="shared" si="4"/>
        <v>7.7157190202857953</v>
      </c>
      <c r="K13" s="36">
        <f>AVERAGE((B13-$B$2)^2,(C13-$C$2)^2,(D13-$D$2)^2,(E13-$E$2)^2,(F13-$F$2)^2)</f>
        <v>29.431519999999995</v>
      </c>
      <c r="L13" s="37">
        <f t="shared" si="5"/>
        <v>5.4250824878521424</v>
      </c>
    </row>
    <row r="14" spans="1:12" ht="15.75" thickBot="1" x14ac:dyDescent="0.3">
      <c r="A14" s="151" t="s">
        <v>15</v>
      </c>
      <c r="B14" s="199">
        <v>25.37</v>
      </c>
      <c r="C14" s="200">
        <v>31.33</v>
      </c>
      <c r="D14" s="200">
        <v>12.26</v>
      </c>
      <c r="E14" s="200">
        <v>16.41</v>
      </c>
      <c r="F14" s="201">
        <v>14.62</v>
      </c>
      <c r="G14" s="68">
        <f>AVERAGE((B14-$B$20)^2, (C14-$C$20)^2, (D14-$D$20)^2, (E14-$E$20)^2)</f>
        <v>26.177874999999986</v>
      </c>
      <c r="H14" s="69">
        <f t="shared" si="0"/>
        <v>5.1164318621476808</v>
      </c>
      <c r="I14" s="36">
        <f>AVERAGE((B14-$B$20)^2,(C14-$C$20)^2,(D14-$D$20)^2,(E14-$E$20)^2,(F14-$F$20)^2)</f>
        <v>51.793579999999977</v>
      </c>
      <c r="J14" s="37">
        <f t="shared" si="1"/>
        <v>7.1967756669219565</v>
      </c>
      <c r="K14" s="36">
        <f>AVERAGE((B14-$B$2)^2,(C14-$C$2)^2,(D14-$D$2)^2,(E14-$E$2)^2,(F14-$F$2)^2)</f>
        <v>23.724379999999986</v>
      </c>
      <c r="L14" s="37">
        <f t="shared" si="2"/>
        <v>4.8707679066036382</v>
      </c>
    </row>
    <row r="15" spans="1:12" x14ac:dyDescent="0.25">
      <c r="A15" s="152" t="s">
        <v>16</v>
      </c>
      <c r="B15" s="213">
        <v>32.5</v>
      </c>
      <c r="C15" s="214">
        <v>25.8</v>
      </c>
      <c r="D15" s="214">
        <v>17.5</v>
      </c>
      <c r="E15" s="214">
        <v>16.8</v>
      </c>
      <c r="F15" s="215">
        <v>7.3</v>
      </c>
      <c r="G15" s="70">
        <f>AVERAGE((B15-$B$20)^2, (C15-$C$20)^2, (D15-$D$20)^2, (E15-$E$20)^2)</f>
        <v>12.812500000000002</v>
      </c>
      <c r="H15" s="71">
        <f t="shared" si="0"/>
        <v>3.5794552658190883</v>
      </c>
      <c r="I15" s="40">
        <f>AVERAGE((B15-$B$20)^2,(C15-$C$20)^2,(D15-$D$20)^2,(E15-$E$20)^2,(F15-$F$20)^2)</f>
        <v>15.452000000000002</v>
      </c>
      <c r="J15" s="41">
        <f t="shared" si="1"/>
        <v>3.9309032040995366</v>
      </c>
      <c r="K15" s="40">
        <f>AVERAGE((B15-$B$2)^2,(C15-$C$2)^2,(D15-$D$2)^2,(E15-$E$2)^2,(F15-$F$2)^2)</f>
        <v>1.8659999999999997</v>
      </c>
      <c r="L15" s="41">
        <f t="shared" si="2"/>
        <v>1.3660161053223348</v>
      </c>
    </row>
    <row r="16" spans="1:12" x14ac:dyDescent="0.25">
      <c r="A16" s="153" t="s">
        <v>17</v>
      </c>
      <c r="B16" s="216">
        <v>31</v>
      </c>
      <c r="C16" s="217">
        <v>28.1</v>
      </c>
      <c r="D16" s="217">
        <v>15.5</v>
      </c>
      <c r="E16" s="217">
        <v>17.5</v>
      </c>
      <c r="F16" s="218">
        <v>7.9</v>
      </c>
      <c r="G16" s="55">
        <f>AVERAGE((B16-$B$20)^2, (C16-$C$20)^2, (D16-$D$20)^2, (E16-$E$20)^2)</f>
        <v>9.134999999999998</v>
      </c>
      <c r="H16" s="29">
        <f t="shared" si="0"/>
        <v>3.0224162519414821</v>
      </c>
      <c r="I16" s="42">
        <f>AVERAGE((B16-$B$20)^2,(C16-$C$20)^2,(D16-$D$20)^2,(E16-$E$20)^2,(F16-$F$20)^2)</f>
        <v>13.806000000000001</v>
      </c>
      <c r="J16" s="59">
        <f t="shared" si="1"/>
        <v>3.7156426092938486</v>
      </c>
      <c r="K16" s="42">
        <f>AVERAGE((B16-$B$2)^2,(C16-$C$2)^2,(D16-$D$2)^2,(E16-$E$2)^2,(F16-$F$2)^2)</f>
        <v>1.8919999999999988</v>
      </c>
      <c r="L16" s="59">
        <f t="shared" si="2"/>
        <v>1.3754999091239515</v>
      </c>
    </row>
    <row r="17" spans="1:13" x14ac:dyDescent="0.25">
      <c r="A17" s="154" t="s">
        <v>24</v>
      </c>
      <c r="B17" s="219">
        <v>36.799999999999997</v>
      </c>
      <c r="C17" s="7">
        <v>26.1</v>
      </c>
      <c r="D17" s="7">
        <v>13.7</v>
      </c>
      <c r="E17" s="7">
        <v>15.2</v>
      </c>
      <c r="F17" s="127">
        <v>8.1999999999999993</v>
      </c>
      <c r="G17" s="53">
        <f>AVERAGE((B17-$B$20)^2, (C17-$C$20)^2, (D17-$D$20)^2, (E17-$E$20)^2)</f>
        <v>10.902499999999998</v>
      </c>
      <c r="H17" s="61">
        <f t="shared" si="0"/>
        <v>3.3018933962198109</v>
      </c>
      <c r="I17" s="40">
        <f>AVERAGE((B17-$B$20)^2,(C17-$C$20)^2,(D17-$D$20)^2,(E17-$E$20)^2,(F17-$F$20)^2)</f>
        <v>15.921999999999997</v>
      </c>
      <c r="J17" s="41">
        <f t="shared" si="1"/>
        <v>3.9902380881345909</v>
      </c>
      <c r="K17" s="40">
        <f>AVERAGE((B17-$B$2)^2,(C17-$C$2)^2,(D17-$D$2)^2,(E17-$E$2)^2,(F17-$F$2)^2)</f>
        <v>6.1559999999999997</v>
      </c>
      <c r="L17" s="41">
        <f t="shared" si="2"/>
        <v>2.4811287753762397</v>
      </c>
    </row>
    <row r="18" spans="1:13" x14ac:dyDescent="0.25">
      <c r="A18" s="154" t="s">
        <v>20</v>
      </c>
      <c r="B18" s="219">
        <v>35.200000000000003</v>
      </c>
      <c r="C18" s="7">
        <v>24.1</v>
      </c>
      <c r="D18" s="7">
        <v>15.9</v>
      </c>
      <c r="E18" s="7">
        <v>16.8</v>
      </c>
      <c r="F18" s="127">
        <v>8</v>
      </c>
      <c r="G18" s="53">
        <f>AVERAGE((B18-$B$20)^2, (C18-$C$20)^2, (D18-$D$20)^2, (E18-$E$20)^2)</f>
        <v>16.672500000000003</v>
      </c>
      <c r="H18" s="61">
        <f t="shared" si="0"/>
        <v>4.0831972766448601</v>
      </c>
      <c r="I18" s="40">
        <f>AVERAGE((B18-$B$20)^2,(C18-$C$20)^2,(D18-$D$20)^2,(E18-$E$20)^2,(F18-$F$20)^2)</f>
        <v>20.066000000000003</v>
      </c>
      <c r="J18" s="41">
        <f t="shared" si="1"/>
        <v>4.4795089016542873</v>
      </c>
      <c r="K18" s="40">
        <f>AVERAGE((B18-$B$2)^2,(C18-$C$2)^2,(D18-$D$2)^2,(E18-$E$2)^2,(F18-$F$2)^2)</f>
        <v>5.044000000000004</v>
      </c>
      <c r="L18" s="41">
        <f t="shared" si="2"/>
        <v>2.245885126180768</v>
      </c>
    </row>
    <row r="19" spans="1:13" ht="15.75" thickBot="1" x14ac:dyDescent="0.3">
      <c r="A19" s="155" t="s">
        <v>21</v>
      </c>
      <c r="B19" s="220">
        <v>34.4</v>
      </c>
      <c r="C19" s="221">
        <v>27.1</v>
      </c>
      <c r="D19" s="221">
        <v>15.6</v>
      </c>
      <c r="E19" s="221">
        <v>16</v>
      </c>
      <c r="F19" s="222">
        <v>7</v>
      </c>
      <c r="G19" s="57">
        <f>AVERAGE((B19-$B$20)^2, (C19-$C$20)^2, (D19-$D$20)^2, (E19-$E$20)^2)</f>
        <v>6.4750000000000005</v>
      </c>
      <c r="H19" s="62">
        <f t="shared" si="0"/>
        <v>2.5446021299998947</v>
      </c>
      <c r="I19" s="44">
        <f>AVERAGE((B19-$B$20)^2,(C19-$C$20)^2,(D19-$D$20)^2,(E19-$E$20)^2,(F19-$F$20)^2)</f>
        <v>9.7880000000000003</v>
      </c>
      <c r="J19" s="162">
        <f t="shared" si="1"/>
        <v>3.1285779517218364</v>
      </c>
      <c r="K19" s="163">
        <f>AVERAGE((B19-$B$2)^2,(C19-$C$2)^2,(D19-$D$2)^2,(E19-$E$2)^2,(F19-$F$2)^2)</f>
        <v>1.7660000000000011</v>
      </c>
      <c r="L19" s="164">
        <f t="shared" si="2"/>
        <v>1.3289093272304175</v>
      </c>
    </row>
    <row r="20" spans="1:13" ht="15.75" thickBot="1" x14ac:dyDescent="0.3">
      <c r="A20" s="156" t="s">
        <v>32</v>
      </c>
      <c r="B20" s="159">
        <v>34.9</v>
      </c>
      <c r="C20" s="160">
        <v>32.1</v>
      </c>
      <c r="D20" s="160">
        <v>15.7</v>
      </c>
      <c r="E20" s="160">
        <v>15.2</v>
      </c>
      <c r="F20" s="161">
        <v>2.2000000000000002</v>
      </c>
      <c r="K20" s="165">
        <f>AVERAGE((B20-$B$2)^2,(C20-$C$2)^2,(D20-$D$2)^2,(E20-$E$2)^2,(F20-$F$2)^2)</f>
        <v>13.298000000000005</v>
      </c>
      <c r="L20" s="166">
        <f t="shared" si="2"/>
        <v>3.6466422912043353</v>
      </c>
    </row>
    <row r="22" spans="1:13" x14ac:dyDescent="0.25">
      <c r="A22" s="28" t="s">
        <v>25</v>
      </c>
      <c r="B22" s="1" t="s">
        <v>0</v>
      </c>
      <c r="C22" s="1" t="s">
        <v>1</v>
      </c>
      <c r="D22" s="1" t="s">
        <v>2</v>
      </c>
      <c r="E22" s="1" t="s">
        <v>3</v>
      </c>
      <c r="F22" s="1" t="s">
        <v>70</v>
      </c>
      <c r="G22" s="1" t="s">
        <v>71</v>
      </c>
      <c r="M22" t="s">
        <v>50</v>
      </c>
    </row>
    <row r="23" spans="1:13" x14ac:dyDescent="0.25">
      <c r="A23" s="64" t="s">
        <v>26</v>
      </c>
      <c r="B23" s="2">
        <v>12</v>
      </c>
      <c r="C23" s="2">
        <v>10</v>
      </c>
      <c r="D23" s="2">
        <v>6</v>
      </c>
      <c r="E23" s="2">
        <v>5</v>
      </c>
      <c r="F23" s="2">
        <f>AVERAGE((B23-$B$41)^2, (C23-$C$41)^2, (D23-$D$41)^2, (E23-$E$41)^2)</f>
        <v>1</v>
      </c>
      <c r="G23" s="8">
        <f>SQRT(F23)</f>
        <v>1</v>
      </c>
    </row>
    <row r="24" spans="1:13" x14ac:dyDescent="0.25">
      <c r="A24" s="4" t="s">
        <v>4</v>
      </c>
      <c r="B24" s="4">
        <v>12</v>
      </c>
      <c r="C24" s="4">
        <v>9</v>
      </c>
      <c r="D24" s="4">
        <v>6</v>
      </c>
      <c r="E24" s="4">
        <v>6</v>
      </c>
      <c r="F24" s="12">
        <f t="shared" ref="F24:F40" si="6">AVERAGE((B24-$B$41)^2, (C24-$C$41)^2, (D24-$D$41)^2, (E24-$E$41)^2)</f>
        <v>2.5</v>
      </c>
      <c r="G24" s="6">
        <f t="shared" ref="G24:G40" si="7">SQRT(F24)</f>
        <v>1.5811388300841898</v>
      </c>
    </row>
    <row r="25" spans="1:13" x14ac:dyDescent="0.25">
      <c r="A25" s="4" t="s">
        <v>5</v>
      </c>
      <c r="B25" s="4">
        <v>12</v>
      </c>
      <c r="C25" s="4">
        <v>9</v>
      </c>
      <c r="D25" s="4">
        <v>6</v>
      </c>
      <c r="E25" s="4">
        <v>6</v>
      </c>
      <c r="F25" s="12">
        <f t="shared" si="6"/>
        <v>2.5</v>
      </c>
      <c r="G25" s="6">
        <f>SQRT(F25)</f>
        <v>1.5811388300841898</v>
      </c>
    </row>
    <row r="26" spans="1:13" x14ac:dyDescent="0.25">
      <c r="A26" s="4" t="s">
        <v>6</v>
      </c>
      <c r="B26" s="4">
        <v>10</v>
      </c>
      <c r="C26" s="4">
        <v>15</v>
      </c>
      <c r="D26" s="4">
        <v>4</v>
      </c>
      <c r="E26" s="4">
        <v>4</v>
      </c>
      <c r="F26" s="12">
        <f t="shared" si="6"/>
        <v>6.5</v>
      </c>
      <c r="G26" s="6">
        <f>SQRT(F26)</f>
        <v>2.5495097567963922</v>
      </c>
    </row>
    <row r="27" spans="1:13" x14ac:dyDescent="0.25">
      <c r="A27" s="4" t="s">
        <v>7</v>
      </c>
      <c r="B27" s="4">
        <v>10</v>
      </c>
      <c r="C27" s="4">
        <v>15</v>
      </c>
      <c r="D27" s="4">
        <v>4</v>
      </c>
      <c r="E27" s="4">
        <v>4</v>
      </c>
      <c r="F27" s="12">
        <f t="shared" si="6"/>
        <v>6.5</v>
      </c>
      <c r="G27" s="6">
        <f>SQRT(F27)</f>
        <v>2.5495097567963922</v>
      </c>
    </row>
    <row r="28" spans="1:13" x14ac:dyDescent="0.25">
      <c r="A28" s="16" t="s">
        <v>8</v>
      </c>
      <c r="B28" s="16">
        <v>14</v>
      </c>
      <c r="C28" s="16">
        <v>9</v>
      </c>
      <c r="D28" s="16">
        <v>5</v>
      </c>
      <c r="E28" s="16">
        <v>5</v>
      </c>
      <c r="F28" s="17">
        <f t="shared" si="6"/>
        <v>1.5</v>
      </c>
      <c r="G28" s="10">
        <f>SQRT(F28)</f>
        <v>1.2247448713915889</v>
      </c>
    </row>
    <row r="29" spans="1:13" x14ac:dyDescent="0.25">
      <c r="A29" s="4" t="s">
        <v>9</v>
      </c>
      <c r="B29" s="4">
        <v>11</v>
      </c>
      <c r="C29" s="4">
        <v>11</v>
      </c>
      <c r="D29" s="4">
        <v>4</v>
      </c>
      <c r="E29" s="4">
        <v>7</v>
      </c>
      <c r="F29" s="12">
        <f t="shared" si="6"/>
        <v>3.5</v>
      </c>
      <c r="G29" s="6">
        <f t="shared" si="7"/>
        <v>1.8708286933869707</v>
      </c>
    </row>
    <row r="30" spans="1:13" x14ac:dyDescent="0.25">
      <c r="A30" s="4" t="s">
        <v>10</v>
      </c>
      <c r="B30" s="15">
        <v>12</v>
      </c>
      <c r="C30" s="15">
        <v>9</v>
      </c>
      <c r="D30" s="15">
        <v>6</v>
      </c>
      <c r="E30" s="15">
        <v>6</v>
      </c>
      <c r="F30" s="12">
        <f t="shared" si="6"/>
        <v>2.5</v>
      </c>
      <c r="G30" s="6">
        <f>SQRT(F30)</f>
        <v>1.5811388300841898</v>
      </c>
    </row>
    <row r="31" spans="1:13" x14ac:dyDescent="0.25">
      <c r="A31" s="4" t="s">
        <v>11</v>
      </c>
      <c r="B31" s="15">
        <v>12</v>
      </c>
      <c r="C31" s="15">
        <v>9</v>
      </c>
      <c r="D31" s="15">
        <v>6</v>
      </c>
      <c r="E31" s="15">
        <v>6</v>
      </c>
      <c r="F31" s="12">
        <f t="shared" si="6"/>
        <v>2.5</v>
      </c>
      <c r="G31" s="6">
        <f>SQRT(F31)</f>
        <v>1.5811388300841898</v>
      </c>
    </row>
    <row r="32" spans="1:13" x14ac:dyDescent="0.25">
      <c r="A32" s="4" t="s">
        <v>12</v>
      </c>
      <c r="B32" s="15">
        <v>11</v>
      </c>
      <c r="C32" s="15">
        <v>15</v>
      </c>
      <c r="D32" s="15">
        <v>5</v>
      </c>
      <c r="E32" s="15">
        <v>2</v>
      </c>
      <c r="F32" s="12">
        <f t="shared" si="6"/>
        <v>6</v>
      </c>
      <c r="G32" s="6">
        <f t="shared" si="7"/>
        <v>2.4494897427831779</v>
      </c>
    </row>
    <row r="33" spans="1:7" x14ac:dyDescent="0.25">
      <c r="A33" s="4" t="s">
        <v>13</v>
      </c>
      <c r="B33" s="15">
        <v>11</v>
      </c>
      <c r="C33" s="15">
        <v>16</v>
      </c>
      <c r="D33" s="15">
        <v>4</v>
      </c>
      <c r="E33" s="15">
        <v>2</v>
      </c>
      <c r="F33" s="12">
        <f t="shared" si="6"/>
        <v>8.5</v>
      </c>
      <c r="G33" s="6">
        <f t="shared" si="7"/>
        <v>2.9154759474226504</v>
      </c>
    </row>
    <row r="34" spans="1:7" x14ac:dyDescent="0.25">
      <c r="A34" s="4" t="s">
        <v>14</v>
      </c>
      <c r="B34" s="15">
        <v>9</v>
      </c>
      <c r="C34" s="15">
        <v>13</v>
      </c>
      <c r="D34" s="15">
        <v>5</v>
      </c>
      <c r="E34" s="15">
        <v>6</v>
      </c>
      <c r="F34" s="12">
        <f t="shared" si="6"/>
        <v>6</v>
      </c>
      <c r="G34" s="6">
        <f t="shared" si="7"/>
        <v>2.4494897427831779</v>
      </c>
    </row>
    <row r="35" spans="1:7" x14ac:dyDescent="0.25">
      <c r="A35" s="4" t="s">
        <v>15</v>
      </c>
      <c r="B35" s="15">
        <v>10</v>
      </c>
      <c r="C35" s="15">
        <v>12</v>
      </c>
      <c r="D35" s="15">
        <v>5</v>
      </c>
      <c r="E35" s="15">
        <v>6</v>
      </c>
      <c r="F35" s="12">
        <f t="shared" si="6"/>
        <v>3.5</v>
      </c>
      <c r="G35" s="6">
        <f t="shared" si="7"/>
        <v>1.8708286933869707</v>
      </c>
    </row>
    <row r="36" spans="1:7" x14ac:dyDescent="0.25">
      <c r="A36" s="5" t="s">
        <v>16</v>
      </c>
      <c r="B36" s="14">
        <v>12</v>
      </c>
      <c r="C36" s="14">
        <v>9</v>
      </c>
      <c r="D36" s="14">
        <v>6</v>
      </c>
      <c r="E36" s="14">
        <v>6</v>
      </c>
      <c r="F36" s="7">
        <f t="shared" si="6"/>
        <v>2.5</v>
      </c>
      <c r="G36" s="9">
        <f t="shared" si="7"/>
        <v>1.5811388300841898</v>
      </c>
    </row>
    <row r="37" spans="1:7" x14ac:dyDescent="0.25">
      <c r="A37" s="5" t="s">
        <v>17</v>
      </c>
      <c r="B37" s="14">
        <v>11</v>
      </c>
      <c r="C37" s="14">
        <v>10</v>
      </c>
      <c r="D37" s="14">
        <v>6</v>
      </c>
      <c r="E37" s="14">
        <v>6</v>
      </c>
      <c r="F37" s="7">
        <f t="shared" si="6"/>
        <v>2.5</v>
      </c>
      <c r="G37" s="9">
        <f t="shared" si="7"/>
        <v>1.5811388300841898</v>
      </c>
    </row>
    <row r="38" spans="1:7" x14ac:dyDescent="0.25">
      <c r="A38" s="18" t="s">
        <v>24</v>
      </c>
      <c r="B38" s="22">
        <v>14</v>
      </c>
      <c r="C38" s="22">
        <v>9</v>
      </c>
      <c r="D38" s="22">
        <v>5</v>
      </c>
      <c r="E38" s="22">
        <v>5</v>
      </c>
      <c r="F38" s="11">
        <f t="shared" si="6"/>
        <v>1.5</v>
      </c>
      <c r="G38" s="20">
        <f t="shared" si="7"/>
        <v>1.2247448713915889</v>
      </c>
    </row>
    <row r="39" spans="1:7" x14ac:dyDescent="0.25">
      <c r="A39" s="5" t="s">
        <v>20</v>
      </c>
      <c r="B39" s="14">
        <v>13</v>
      </c>
      <c r="C39" s="14">
        <v>9</v>
      </c>
      <c r="D39" s="14">
        <v>5</v>
      </c>
      <c r="E39" s="14">
        <v>6</v>
      </c>
      <c r="F39" s="7">
        <f t="shared" si="6"/>
        <v>2</v>
      </c>
      <c r="G39" s="9">
        <f t="shared" si="7"/>
        <v>1.4142135623730951</v>
      </c>
    </row>
    <row r="40" spans="1:7" x14ac:dyDescent="0.25">
      <c r="A40" s="18" t="s">
        <v>21</v>
      </c>
      <c r="B40" s="22">
        <v>12</v>
      </c>
      <c r="C40" s="22">
        <v>10</v>
      </c>
      <c r="D40" s="22">
        <v>5</v>
      </c>
      <c r="E40" s="22">
        <v>6</v>
      </c>
      <c r="F40" s="11">
        <f t="shared" si="6"/>
        <v>1.5</v>
      </c>
      <c r="G40" s="20">
        <f t="shared" si="7"/>
        <v>1.2247448713915889</v>
      </c>
    </row>
    <row r="41" spans="1:7" x14ac:dyDescent="0.25">
      <c r="A41" s="156" t="s">
        <v>32</v>
      </c>
      <c r="B41" s="3">
        <v>13</v>
      </c>
      <c r="C41" s="3">
        <v>11</v>
      </c>
      <c r="D41" s="3">
        <v>5</v>
      </c>
      <c r="E41" s="3">
        <v>4</v>
      </c>
    </row>
  </sheetData>
  <mergeCells count="1">
    <mergeCell ref="K1:L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8505-4E50-4391-84D7-F9657734CD28}">
  <dimension ref="A1:Q82"/>
  <sheetViews>
    <sheetView workbookViewId="0">
      <selection activeCell="H1" sqref="H1:L3"/>
    </sheetView>
  </sheetViews>
  <sheetFormatPr baseColWidth="10" defaultRowHeight="15" x14ac:dyDescent="0.25"/>
  <cols>
    <col min="1" max="1" width="39" customWidth="1"/>
    <col min="8" max="8" width="14" customWidth="1"/>
    <col min="9" max="9" width="13.7109375" bestFit="1" customWidth="1"/>
  </cols>
  <sheetData>
    <row r="1" spans="1:12" x14ac:dyDescent="0.25">
      <c r="B1" s="21" t="s">
        <v>0</v>
      </c>
      <c r="C1" s="21" t="s">
        <v>1</v>
      </c>
      <c r="D1" s="21" t="s">
        <v>74</v>
      </c>
      <c r="E1" s="21" t="s">
        <v>3</v>
      </c>
      <c r="F1" s="21" t="s">
        <v>68</v>
      </c>
      <c r="G1" s="21"/>
      <c r="H1" s="21" t="s">
        <v>72</v>
      </c>
      <c r="I1" s="21" t="s">
        <v>73</v>
      </c>
      <c r="K1" s="21" t="s">
        <v>70</v>
      </c>
      <c r="L1" s="21" t="s">
        <v>71</v>
      </c>
    </row>
    <row r="2" spans="1:12" x14ac:dyDescent="0.25">
      <c r="A2" s="243" t="s">
        <v>79</v>
      </c>
      <c r="B2" s="243">
        <v>40.200000000000003</v>
      </c>
      <c r="C2" s="243">
        <v>27.7</v>
      </c>
      <c r="D2" s="243">
        <v>13.9</v>
      </c>
      <c r="E2" s="243">
        <v>15.3</v>
      </c>
      <c r="F2" s="243">
        <v>2.9</v>
      </c>
      <c r="G2" s="243"/>
      <c r="H2" s="243"/>
      <c r="I2" s="243"/>
      <c r="J2" s="243"/>
      <c r="K2" s="243"/>
      <c r="L2" s="243"/>
    </row>
    <row r="3" spans="1:12" x14ac:dyDescent="0.25">
      <c r="A3" s="21" t="s">
        <v>75</v>
      </c>
      <c r="B3" s="21"/>
      <c r="C3" s="21"/>
      <c r="D3" s="21"/>
      <c r="E3" s="21"/>
      <c r="F3" s="21"/>
      <c r="G3" s="21"/>
      <c r="H3" s="21" t="s">
        <v>72</v>
      </c>
      <c r="I3" s="21" t="s">
        <v>73</v>
      </c>
      <c r="J3" s="21"/>
      <c r="K3" s="21" t="s">
        <v>70</v>
      </c>
      <c r="L3" s="21" t="s">
        <v>71</v>
      </c>
    </row>
    <row r="4" spans="1:12" x14ac:dyDescent="0.25">
      <c r="A4" s="244" t="s">
        <v>4</v>
      </c>
      <c r="B4" s="244">
        <v>34</v>
      </c>
      <c r="C4" s="244">
        <v>25</v>
      </c>
      <c r="D4" s="244">
        <v>16.7</v>
      </c>
      <c r="E4" s="244">
        <v>16.399999999999999</v>
      </c>
      <c r="F4" s="244">
        <v>7.8</v>
      </c>
      <c r="H4">
        <f>AVERAGE((B4-$B$2)^2,(C4-$C$2)^2,(D4-$D$2)^2,(E4-$E$2)^2,(F4-$F$2)^2)</f>
        <v>15.758000000000004</v>
      </c>
      <c r="I4">
        <f>SQRT(H4)</f>
        <v>3.9696347439027693</v>
      </c>
      <c r="K4">
        <f>AVERAGE((B4-$B$2)^2,(C4-$C$2)^2,(D4-$D$2)^2,(E4-$E$2)^2)</f>
        <v>13.695000000000006</v>
      </c>
      <c r="L4">
        <f>SQRT(K4)</f>
        <v>3.7006756139926673</v>
      </c>
    </row>
    <row r="5" spans="1:12" x14ac:dyDescent="0.25">
      <c r="A5" s="244" t="s">
        <v>5</v>
      </c>
      <c r="B5" s="244">
        <v>33.9</v>
      </c>
      <c r="C5" s="244">
        <v>24.9</v>
      </c>
      <c r="D5" s="244">
        <v>16.399999999999999</v>
      </c>
      <c r="E5" s="244">
        <v>17</v>
      </c>
      <c r="F5" s="244">
        <v>7.8</v>
      </c>
      <c r="H5">
        <f t="shared" ref="H5:H22" si="0">AVERAGE((B5-$B$2)^2,(C5-$C$2)^2,(D5-$D$2)^2,(E5-$E$2)^2,(F5-$F$2)^2)</f>
        <v>16.136000000000013</v>
      </c>
      <c r="I5">
        <f t="shared" ref="I5:I22" si="1">SQRT(H5)</f>
        <v>4.016964027720439</v>
      </c>
      <c r="K5">
        <f t="shared" ref="K5:K22" si="2">AVERAGE((B5-$B$2)^2,(C5-$C$2)^2,(D5-$D$2)^2,(E5-$E$2)^2)</f>
        <v>14.167500000000013</v>
      </c>
      <c r="L5">
        <f t="shared" ref="L5:L22" si="3">SQRT(K5)</f>
        <v>3.7639739637781786</v>
      </c>
    </row>
    <row r="6" spans="1:12" x14ac:dyDescent="0.25">
      <c r="A6" s="244" t="s">
        <v>6</v>
      </c>
      <c r="B6" s="244">
        <v>24.9</v>
      </c>
      <c r="C6" s="244">
        <v>33.1</v>
      </c>
      <c r="D6" s="244">
        <v>11.3</v>
      </c>
      <c r="E6" s="244">
        <v>9.8000000000000007</v>
      </c>
      <c r="F6" s="244">
        <v>21</v>
      </c>
      <c r="H6">
        <f t="shared" si="0"/>
        <v>125.57400000000003</v>
      </c>
      <c r="I6">
        <f t="shared" si="1"/>
        <v>11.205980546119113</v>
      </c>
      <c r="K6">
        <f t="shared" si="2"/>
        <v>75.065000000000026</v>
      </c>
      <c r="L6">
        <f t="shared" si="3"/>
        <v>8.6640060018446441</v>
      </c>
    </row>
    <row r="7" spans="1:12" x14ac:dyDescent="0.25">
      <c r="A7" s="244" t="s">
        <v>7</v>
      </c>
      <c r="B7" s="244">
        <v>24.3</v>
      </c>
      <c r="C7" s="244">
        <v>34.9</v>
      </c>
      <c r="D7" s="244">
        <v>10.8</v>
      </c>
      <c r="E7" s="244">
        <v>7.9</v>
      </c>
      <c r="F7" s="244">
        <v>22.1</v>
      </c>
      <c r="H7">
        <f t="shared" si="0"/>
        <v>147.53200000000001</v>
      </c>
      <c r="I7">
        <f t="shared" si="1"/>
        <v>12.146275149196976</v>
      </c>
      <c r="K7">
        <f t="shared" si="2"/>
        <v>92.25500000000001</v>
      </c>
      <c r="L7">
        <f t="shared" si="3"/>
        <v>9.6049466422255581</v>
      </c>
    </row>
    <row r="8" spans="1:12" x14ac:dyDescent="0.25">
      <c r="A8" s="244" t="s">
        <v>8</v>
      </c>
      <c r="B8" s="244">
        <v>33</v>
      </c>
      <c r="C8" s="244">
        <v>25.7</v>
      </c>
      <c r="D8" s="244">
        <v>13.3</v>
      </c>
      <c r="E8" s="244">
        <v>13.4</v>
      </c>
      <c r="F8" s="244">
        <v>14.7</v>
      </c>
      <c r="H8">
        <f t="shared" si="0"/>
        <v>39.81</v>
      </c>
      <c r="I8">
        <f t="shared" si="1"/>
        <v>6.3095166217389425</v>
      </c>
      <c r="K8">
        <f t="shared" si="2"/>
        <v>14.952500000000009</v>
      </c>
      <c r="L8">
        <f t="shared" si="3"/>
        <v>3.8668462601970628</v>
      </c>
    </row>
    <row r="9" spans="1:12" x14ac:dyDescent="0.25">
      <c r="A9" s="244" t="s">
        <v>9</v>
      </c>
      <c r="B9" s="244">
        <v>29.1</v>
      </c>
      <c r="C9" s="244">
        <v>27.7</v>
      </c>
      <c r="D9" s="244">
        <v>11.4</v>
      </c>
      <c r="E9" s="244">
        <v>17.3</v>
      </c>
      <c r="F9" s="244">
        <v>14.5</v>
      </c>
      <c r="H9">
        <f t="shared" si="0"/>
        <v>53.604000000000006</v>
      </c>
      <c r="I9">
        <f t="shared" si="1"/>
        <v>7.321475261175169</v>
      </c>
      <c r="K9">
        <f t="shared" si="2"/>
        <v>33.365000000000009</v>
      </c>
      <c r="L9">
        <f t="shared" si="3"/>
        <v>5.7762444546608318</v>
      </c>
    </row>
    <row r="10" spans="1:12" x14ac:dyDescent="0.25">
      <c r="A10" t="s">
        <v>34</v>
      </c>
      <c r="B10">
        <v>36.57</v>
      </c>
      <c r="C10">
        <v>23.4</v>
      </c>
      <c r="D10">
        <v>16.7</v>
      </c>
      <c r="E10">
        <v>15.38</v>
      </c>
      <c r="F10">
        <v>7.95</v>
      </c>
      <c r="H10">
        <f t="shared" si="0"/>
        <v>13.003160000000005</v>
      </c>
      <c r="I10">
        <f t="shared" si="1"/>
        <v>3.6059894619923676</v>
      </c>
      <c r="K10">
        <f t="shared" si="2"/>
        <v>9.8783250000000056</v>
      </c>
      <c r="L10">
        <f t="shared" si="3"/>
        <v>3.1429802735620225</v>
      </c>
    </row>
    <row r="11" spans="1:12" x14ac:dyDescent="0.25">
      <c r="A11" t="s">
        <v>27</v>
      </c>
      <c r="B11">
        <v>37.29</v>
      </c>
      <c r="C11">
        <v>23.11</v>
      </c>
      <c r="D11">
        <v>17</v>
      </c>
      <c r="E11">
        <v>15.17</v>
      </c>
      <c r="F11">
        <v>7.45</v>
      </c>
      <c r="H11">
        <f t="shared" si="0"/>
        <v>11.973120000000005</v>
      </c>
      <c r="I11">
        <f t="shared" si="1"/>
        <v>3.4602196462074493</v>
      </c>
      <c r="K11">
        <f t="shared" si="2"/>
        <v>9.7907750000000036</v>
      </c>
      <c r="L11">
        <f t="shared" si="3"/>
        <v>3.1290214125186173</v>
      </c>
    </row>
    <row r="12" spans="1:12" x14ac:dyDescent="0.25">
      <c r="A12" t="s">
        <v>28</v>
      </c>
      <c r="B12">
        <v>29.05</v>
      </c>
      <c r="C12">
        <v>33.020000000000003</v>
      </c>
      <c r="D12">
        <v>12.33</v>
      </c>
      <c r="E12">
        <v>5.42</v>
      </c>
      <c r="F12">
        <v>20.18</v>
      </c>
      <c r="H12">
        <f t="shared" si="0"/>
        <v>110.26052000000001</v>
      </c>
      <c r="I12">
        <f t="shared" si="1"/>
        <v>10.500500940431367</v>
      </c>
      <c r="K12">
        <f t="shared" si="2"/>
        <v>63.176050000000025</v>
      </c>
      <c r="L12">
        <f t="shared" si="3"/>
        <v>7.9483363039066246</v>
      </c>
    </row>
    <row r="13" spans="1:12" x14ac:dyDescent="0.25">
      <c r="A13" t="s">
        <v>29</v>
      </c>
      <c r="B13">
        <v>27.61</v>
      </c>
      <c r="C13">
        <v>32.49</v>
      </c>
      <c r="D13">
        <v>12.06</v>
      </c>
      <c r="E13">
        <v>5.43</v>
      </c>
      <c r="F13">
        <v>22.41</v>
      </c>
      <c r="H13">
        <f t="shared" si="0"/>
        <v>132.57896000000005</v>
      </c>
      <c r="I13">
        <f t="shared" si="1"/>
        <v>11.514293725626425</v>
      </c>
      <c r="K13">
        <f t="shared" si="2"/>
        <v>70.563675000000046</v>
      </c>
      <c r="L13">
        <f t="shared" si="3"/>
        <v>8.4002187471517704</v>
      </c>
    </row>
    <row r="14" spans="1:12" x14ac:dyDescent="0.25">
      <c r="A14" t="s">
        <v>35</v>
      </c>
      <c r="B14">
        <v>30.94</v>
      </c>
      <c r="C14">
        <v>25.93</v>
      </c>
      <c r="D14">
        <v>13.18</v>
      </c>
      <c r="E14">
        <v>14.32</v>
      </c>
      <c r="F14">
        <v>15.63</v>
      </c>
      <c r="H14">
        <f t="shared" si="0"/>
        <v>50.482440000000011</v>
      </c>
      <c r="I14">
        <f t="shared" si="1"/>
        <v>7.1050995770643501</v>
      </c>
      <c r="K14">
        <f t="shared" si="2"/>
        <v>22.589825000000008</v>
      </c>
      <c r="L14">
        <f t="shared" si="3"/>
        <v>4.7528754454540474</v>
      </c>
    </row>
    <row r="15" spans="1:12" x14ac:dyDescent="0.25">
      <c r="A15" t="s">
        <v>36</v>
      </c>
      <c r="B15">
        <v>27.62</v>
      </c>
      <c r="C15">
        <v>29.74</v>
      </c>
      <c r="D15">
        <v>12.73</v>
      </c>
      <c r="E15">
        <v>15.37</v>
      </c>
      <c r="F15">
        <v>14.55</v>
      </c>
      <c r="H15">
        <f t="shared" si="0"/>
        <v>59.902860000000011</v>
      </c>
      <c r="I15">
        <f t="shared" si="1"/>
        <v>7.7396937923925657</v>
      </c>
      <c r="K15">
        <f t="shared" si="2"/>
        <v>40.947950000000006</v>
      </c>
      <c r="L15">
        <f t="shared" si="3"/>
        <v>6.399058524501867</v>
      </c>
    </row>
    <row r="16" spans="1:12" x14ac:dyDescent="0.25">
      <c r="A16" s="245" t="s">
        <v>16</v>
      </c>
      <c r="B16" s="245">
        <v>34.799999999999997</v>
      </c>
      <c r="C16" s="245">
        <v>24.5</v>
      </c>
      <c r="D16" s="245">
        <v>18.399999999999999</v>
      </c>
      <c r="E16" s="245">
        <v>14.4</v>
      </c>
      <c r="F16" s="245">
        <v>7.7</v>
      </c>
      <c r="H16" s="245">
        <f>AVERAGE((B16-$B$2)^2,(C16-$C$2)^2,(D16-$D$2)^2,(E16-$E$2)^2,(F16-$F$2)^2)</f>
        <v>16.70000000000001</v>
      </c>
      <c r="I16" s="245">
        <f t="shared" si="1"/>
        <v>4.086563348340511</v>
      </c>
      <c r="K16" s="245">
        <f t="shared" si="2"/>
        <v>15.115000000000011</v>
      </c>
      <c r="L16" s="245">
        <f t="shared" si="3"/>
        <v>3.8878014352587518</v>
      </c>
    </row>
    <row r="17" spans="1:17" x14ac:dyDescent="0.25">
      <c r="A17" s="245" t="s">
        <v>17</v>
      </c>
      <c r="B17" s="245">
        <v>32.799999999999997</v>
      </c>
      <c r="C17" s="245">
        <v>28.8</v>
      </c>
      <c r="D17" s="245">
        <v>12.7</v>
      </c>
      <c r="E17" s="245">
        <v>17.7</v>
      </c>
      <c r="F17" s="245">
        <v>8.1999999999999993</v>
      </c>
      <c r="H17" s="245">
        <f t="shared" si="0"/>
        <v>18.252000000000017</v>
      </c>
      <c r="I17" s="245">
        <f t="shared" si="1"/>
        <v>4.2722359485402972</v>
      </c>
      <c r="K17" s="245">
        <f t="shared" si="2"/>
        <v>15.79250000000002</v>
      </c>
      <c r="L17" s="245">
        <f t="shared" si="3"/>
        <v>3.9739778560027257</v>
      </c>
    </row>
    <row r="18" spans="1:17" x14ac:dyDescent="0.25">
      <c r="A18" s="245" t="s">
        <v>18</v>
      </c>
      <c r="B18" s="245">
        <v>36.5</v>
      </c>
      <c r="C18" s="245">
        <v>25.3</v>
      </c>
      <c r="D18" s="245">
        <v>14.9</v>
      </c>
      <c r="E18" s="245">
        <v>14.3</v>
      </c>
      <c r="F18" s="245">
        <v>8.9</v>
      </c>
      <c r="H18" s="245">
        <f t="shared" si="0"/>
        <v>11.490000000000004</v>
      </c>
      <c r="I18" s="245">
        <f t="shared" si="1"/>
        <v>3.3896902513356593</v>
      </c>
      <c r="K18" s="245">
        <f t="shared" si="2"/>
        <v>5.3625000000000034</v>
      </c>
      <c r="L18" s="245">
        <f t="shared" si="3"/>
        <v>2.3157072353818831</v>
      </c>
    </row>
    <row r="19" spans="1:17" x14ac:dyDescent="0.25">
      <c r="A19" s="245" t="s">
        <v>19</v>
      </c>
      <c r="B19" s="245">
        <v>37.6</v>
      </c>
      <c r="C19" s="245">
        <v>25.9</v>
      </c>
      <c r="D19" s="245">
        <v>13.4</v>
      </c>
      <c r="E19" s="245">
        <v>14.6</v>
      </c>
      <c r="F19" s="245">
        <v>8.4</v>
      </c>
      <c r="H19" s="245">
        <f t="shared" si="0"/>
        <v>8.1980000000000022</v>
      </c>
      <c r="I19" s="245">
        <f t="shared" si="1"/>
        <v>2.8632149762111823</v>
      </c>
      <c r="K19" s="245">
        <f t="shared" si="2"/>
        <v>2.6850000000000032</v>
      </c>
      <c r="L19" s="245">
        <f t="shared" si="3"/>
        <v>1.6385969608173949</v>
      </c>
    </row>
    <row r="20" spans="1:17" x14ac:dyDescent="0.25">
      <c r="A20" s="245" t="s">
        <v>37</v>
      </c>
      <c r="B20" s="245">
        <v>35.36</v>
      </c>
      <c r="C20" s="245">
        <v>22.9</v>
      </c>
      <c r="D20" s="245">
        <v>14.3</v>
      </c>
      <c r="E20" s="245">
        <v>18.940000000000001</v>
      </c>
      <c r="F20" s="245">
        <v>8.5</v>
      </c>
      <c r="H20" s="245">
        <f>AVERAGE((B20-$B$2)^2,(C20-$C$2)^2,(D20-$D$2)^2,(E20-$E$2)^2,(F20-$F$2)^2)</f>
        <v>18.247040000000009</v>
      </c>
      <c r="I20" s="245">
        <f t="shared" si="1"/>
        <v>4.2716554168144238</v>
      </c>
      <c r="K20" s="245">
        <f t="shared" si="2"/>
        <v>14.968800000000012</v>
      </c>
      <c r="L20" s="245">
        <f t="shared" si="3"/>
        <v>3.8689533468368436</v>
      </c>
    </row>
    <row r="21" spans="1:17" x14ac:dyDescent="0.25">
      <c r="A21" s="245" t="s">
        <v>38</v>
      </c>
      <c r="B21" s="245">
        <v>32.24</v>
      </c>
      <c r="C21" s="245">
        <v>27.23</v>
      </c>
      <c r="D21" s="245">
        <v>13.82</v>
      </c>
      <c r="E21" s="245">
        <v>17.72</v>
      </c>
      <c r="F21" s="245">
        <v>8.99</v>
      </c>
      <c r="H21" s="245">
        <f t="shared" si="0"/>
        <v>21.30668</v>
      </c>
      <c r="I21" s="245">
        <f t="shared" si="1"/>
        <v>4.6159159437754065</v>
      </c>
      <c r="K21" s="245">
        <f t="shared" si="2"/>
        <v>17.361325000000001</v>
      </c>
      <c r="L21" s="245">
        <f t="shared" si="3"/>
        <v>4.1666923332542805</v>
      </c>
      <c r="Q21" t="s">
        <v>50</v>
      </c>
    </row>
    <row r="22" spans="1:17" x14ac:dyDescent="0.25">
      <c r="A22" s="245" t="s">
        <v>63</v>
      </c>
      <c r="B22" s="245">
        <v>31.66</v>
      </c>
      <c r="C22" s="245">
        <v>27.67</v>
      </c>
      <c r="D22" s="245">
        <v>12.39</v>
      </c>
      <c r="E22" s="245">
        <v>19.78</v>
      </c>
      <c r="F22" s="245">
        <v>8.51</v>
      </c>
      <c r="H22" s="245">
        <f t="shared" si="0"/>
        <v>25.351020000000013</v>
      </c>
      <c r="I22" s="245">
        <f t="shared" si="1"/>
        <v>5.0349796424613293</v>
      </c>
      <c r="K22" s="245">
        <f t="shared" si="2"/>
        <v>23.820750000000015</v>
      </c>
      <c r="L22" s="245">
        <f t="shared" si="3"/>
        <v>4.8806505713890251</v>
      </c>
    </row>
    <row r="23" spans="1:17" x14ac:dyDescent="0.25">
      <c r="A23" s="21" t="s">
        <v>76</v>
      </c>
      <c r="B23" s="246"/>
      <c r="C23" s="246"/>
      <c r="D23" s="246"/>
      <c r="E23" s="246"/>
      <c r="F23" s="246"/>
      <c r="G23" s="21"/>
      <c r="H23" s="21" t="s">
        <v>72</v>
      </c>
      <c r="I23" s="21" t="s">
        <v>73</v>
      </c>
      <c r="J23" s="21"/>
      <c r="K23" s="21" t="s">
        <v>70</v>
      </c>
      <c r="L23" s="21" t="s">
        <v>71</v>
      </c>
    </row>
    <row r="24" spans="1:17" x14ac:dyDescent="0.25">
      <c r="A24" s="244" t="s">
        <v>4</v>
      </c>
      <c r="B24" s="244">
        <v>34.1</v>
      </c>
      <c r="C24" s="244">
        <v>25</v>
      </c>
      <c r="D24" s="244">
        <v>16.8</v>
      </c>
      <c r="E24" s="244">
        <v>16.399999999999999</v>
      </c>
      <c r="F24" s="244">
        <v>7.8</v>
      </c>
      <c r="H24">
        <f>AVERAGE((B24-$B$2)^2,(C24-$C$2)^2,(D24-$D$2)^2,(E24-$E$2)^2,(F24-$F$2)^2)</f>
        <v>15.626000000000005</v>
      </c>
      <c r="I24">
        <f>SQRT(H24)</f>
        <v>3.9529735642930888</v>
      </c>
      <c r="K24">
        <f>AVERAGE((B24-$B$2)^2,(C24-$C$2)^2,(D24-$D$2)^2,(E24-$E$2)^2)</f>
        <v>13.530000000000003</v>
      </c>
      <c r="L24">
        <f>SQRT(K24)</f>
        <v>3.6783148315499048</v>
      </c>
    </row>
    <row r="25" spans="1:17" x14ac:dyDescent="0.25">
      <c r="A25" s="244" t="s">
        <v>5</v>
      </c>
      <c r="B25" s="244">
        <v>33.799999999999997</v>
      </c>
      <c r="C25" s="244">
        <v>25</v>
      </c>
      <c r="D25" s="244">
        <v>16.399999999999999</v>
      </c>
      <c r="E25" s="244">
        <v>17</v>
      </c>
      <c r="F25" s="244">
        <v>7.8</v>
      </c>
      <c r="H25">
        <f t="shared" ref="H25:H42" si="4">AVERAGE((B25-$B$2)^2,(C25-$C$2)^2,(D25-$D$2)^2,(E25-$E$2)^2,(F25-$F$2)^2)</f>
        <v>16.280000000000012</v>
      </c>
      <c r="I25">
        <f t="shared" ref="I25:I42" si="5">SQRT(H25)</f>
        <v>4.0348482003664046</v>
      </c>
      <c r="K25">
        <f t="shared" ref="K25:K42" si="6">AVERAGE((B25-$B$2)^2,(C25-$C$2)^2,(D25-$D$2)^2,(E25-$E$2)^2)</f>
        <v>14.347500000000016</v>
      </c>
      <c r="L25">
        <f t="shared" ref="L25:L42" si="7">SQRT(K25)</f>
        <v>3.787809393303736</v>
      </c>
    </row>
    <row r="26" spans="1:17" x14ac:dyDescent="0.25">
      <c r="A26" s="244" t="s">
        <v>6</v>
      </c>
      <c r="B26" s="244">
        <v>25</v>
      </c>
      <c r="C26" s="244">
        <v>33.200000000000003</v>
      </c>
      <c r="D26" s="244">
        <v>11.3</v>
      </c>
      <c r="E26" s="244">
        <v>9.8000000000000007</v>
      </c>
      <c r="F26" s="244">
        <v>20.7</v>
      </c>
      <c r="H26">
        <f t="shared" si="4"/>
        <v>123.02800000000002</v>
      </c>
      <c r="I26">
        <f t="shared" si="5"/>
        <v>11.091798772065783</v>
      </c>
      <c r="K26">
        <f t="shared" si="6"/>
        <v>74.575000000000031</v>
      </c>
      <c r="L26">
        <f t="shared" si="7"/>
        <v>8.635681791265819</v>
      </c>
    </row>
    <row r="27" spans="1:17" x14ac:dyDescent="0.25">
      <c r="A27" s="244" t="s">
        <v>7</v>
      </c>
      <c r="B27" s="244">
        <v>24.3</v>
      </c>
      <c r="C27" s="244">
        <v>35</v>
      </c>
      <c r="D27" s="244">
        <v>10.8</v>
      </c>
      <c r="E27" s="244">
        <v>8.1</v>
      </c>
      <c r="F27" s="244">
        <v>21.8</v>
      </c>
      <c r="H27">
        <f t="shared" si="4"/>
        <v>144.95200000000006</v>
      </c>
      <c r="I27">
        <f t="shared" si="5"/>
        <v>12.039601322302996</v>
      </c>
      <c r="K27">
        <f t="shared" si="6"/>
        <v>91.887500000000031</v>
      </c>
      <c r="L27">
        <f t="shared" si="7"/>
        <v>9.5857967848270196</v>
      </c>
    </row>
    <row r="28" spans="1:17" x14ac:dyDescent="0.25">
      <c r="A28" s="244" t="s">
        <v>8</v>
      </c>
      <c r="B28" s="244">
        <v>32.799999999999997</v>
      </c>
      <c r="C28" s="244">
        <v>25.6</v>
      </c>
      <c r="D28" s="244">
        <v>13.2</v>
      </c>
      <c r="E28" s="244">
        <v>13.7</v>
      </c>
      <c r="F28" s="244">
        <v>14.7</v>
      </c>
      <c r="H28">
        <f t="shared" si="4"/>
        <v>40.292000000000016</v>
      </c>
      <c r="I28">
        <f t="shared" si="5"/>
        <v>6.3475979708863113</v>
      </c>
      <c r="K28">
        <f t="shared" si="6"/>
        <v>15.555000000000019</v>
      </c>
      <c r="L28">
        <f t="shared" si="7"/>
        <v>3.9439827585830063</v>
      </c>
    </row>
    <row r="29" spans="1:17" x14ac:dyDescent="0.25">
      <c r="A29" s="244" t="s">
        <v>9</v>
      </c>
      <c r="B29" s="244">
        <v>28.9</v>
      </c>
      <c r="C29" s="244">
        <v>27.6</v>
      </c>
      <c r="D29" s="244">
        <v>11.5</v>
      </c>
      <c r="E29" s="244">
        <v>17.5</v>
      </c>
      <c r="F29" s="244">
        <v>14.5</v>
      </c>
      <c r="H29">
        <f t="shared" si="4"/>
        <v>54.572000000000024</v>
      </c>
      <c r="I29">
        <f t="shared" si="5"/>
        <v>7.3872863759299348</v>
      </c>
      <c r="K29">
        <f t="shared" si="6"/>
        <v>34.575000000000024</v>
      </c>
      <c r="L29">
        <f t="shared" si="7"/>
        <v>5.8800510201868166</v>
      </c>
    </row>
    <row r="30" spans="1:17" x14ac:dyDescent="0.25">
      <c r="A30" t="s">
        <v>34</v>
      </c>
      <c r="B30">
        <v>36.65</v>
      </c>
      <c r="C30">
        <v>23.38</v>
      </c>
      <c r="D30">
        <v>16.739999999999998</v>
      </c>
      <c r="E30">
        <v>15.31</v>
      </c>
      <c r="F30">
        <v>7.91</v>
      </c>
      <c r="H30">
        <f t="shared" si="4"/>
        <v>12.886140000000006</v>
      </c>
      <c r="I30">
        <f t="shared" si="5"/>
        <v>3.5897270091192182</v>
      </c>
      <c r="K30">
        <f t="shared" si="6"/>
        <v>9.8326500000000063</v>
      </c>
      <c r="L30">
        <f t="shared" si="7"/>
        <v>3.135705662207473</v>
      </c>
    </row>
    <row r="31" spans="1:17" x14ac:dyDescent="0.25">
      <c r="A31" t="s">
        <v>27</v>
      </c>
      <c r="B31">
        <v>37.340000000000003</v>
      </c>
      <c r="C31">
        <v>23.08</v>
      </c>
      <c r="D31">
        <v>17.02</v>
      </c>
      <c r="E31">
        <v>15.14</v>
      </c>
      <c r="F31">
        <v>7.42</v>
      </c>
      <c r="H31">
        <f t="shared" si="4"/>
        <v>11.942879999999999</v>
      </c>
      <c r="I31">
        <f t="shared" si="5"/>
        <v>3.455847218845185</v>
      </c>
      <c r="K31">
        <f t="shared" si="6"/>
        <v>9.8209999999999997</v>
      </c>
      <c r="L31">
        <f t="shared" si="7"/>
        <v>3.1338474755482277</v>
      </c>
    </row>
    <row r="32" spans="1:17" x14ac:dyDescent="0.25">
      <c r="A32" t="s">
        <v>28</v>
      </c>
      <c r="B32">
        <v>28.76</v>
      </c>
      <c r="C32">
        <v>33.26</v>
      </c>
      <c r="D32">
        <v>12.28</v>
      </c>
      <c r="E32">
        <v>5.4</v>
      </c>
      <c r="F32">
        <v>20.3</v>
      </c>
      <c r="H32">
        <f t="shared" si="4"/>
        <v>113.03632000000002</v>
      </c>
      <c r="I32">
        <f t="shared" si="5"/>
        <v>10.631854024581038</v>
      </c>
      <c r="K32">
        <f t="shared" si="6"/>
        <v>65.605400000000003</v>
      </c>
      <c r="L32">
        <f t="shared" si="7"/>
        <v>8.0997160444055076</v>
      </c>
    </row>
    <row r="33" spans="1:12" x14ac:dyDescent="0.25">
      <c r="A33" t="s">
        <v>29</v>
      </c>
      <c r="B33">
        <v>27.75</v>
      </c>
      <c r="C33">
        <v>32.299999999999997</v>
      </c>
      <c r="D33">
        <v>12.2</v>
      </c>
      <c r="E33">
        <v>5.57</v>
      </c>
      <c r="F33">
        <v>22.18</v>
      </c>
      <c r="H33">
        <f t="shared" si="4"/>
        <v>129.08876000000004</v>
      </c>
      <c r="I33">
        <f t="shared" si="5"/>
        <v>11.361723460813506</v>
      </c>
      <c r="K33">
        <f t="shared" si="6"/>
        <v>68.431350000000023</v>
      </c>
      <c r="L33">
        <f t="shared" si="7"/>
        <v>8.2723243408367413</v>
      </c>
    </row>
    <row r="34" spans="1:12" x14ac:dyDescent="0.25">
      <c r="A34" t="s">
        <v>35</v>
      </c>
      <c r="B34">
        <v>30.44</v>
      </c>
      <c r="C34">
        <v>25.62</v>
      </c>
      <c r="D34">
        <v>12.95</v>
      </c>
      <c r="E34">
        <v>15.31</v>
      </c>
      <c r="F34">
        <v>15.69</v>
      </c>
      <c r="H34">
        <f t="shared" si="4"/>
        <v>52.814139999999995</v>
      </c>
      <c r="I34">
        <f t="shared" si="5"/>
        <v>7.2673337614286018</v>
      </c>
      <c r="K34">
        <f t="shared" si="6"/>
        <v>25.121650000000006</v>
      </c>
      <c r="L34">
        <f t="shared" si="7"/>
        <v>5.012150237173663</v>
      </c>
    </row>
    <row r="35" spans="1:12" x14ac:dyDescent="0.25">
      <c r="A35" t="s">
        <v>36</v>
      </c>
      <c r="B35">
        <v>27.28</v>
      </c>
      <c r="C35">
        <v>29.66</v>
      </c>
      <c r="D35">
        <v>12.57</v>
      </c>
      <c r="E35">
        <v>15.74</v>
      </c>
      <c r="F35">
        <v>14.75</v>
      </c>
      <c r="H35">
        <f t="shared" si="4"/>
        <v>62.630600000000001</v>
      </c>
      <c r="I35">
        <f t="shared" si="5"/>
        <v>7.9139497092159994</v>
      </c>
      <c r="K35">
        <f t="shared" si="6"/>
        <v>43.182625000000016</v>
      </c>
      <c r="L35">
        <f t="shared" si="7"/>
        <v>6.5713487960996266</v>
      </c>
    </row>
    <row r="36" spans="1:12" x14ac:dyDescent="0.25">
      <c r="A36" s="245" t="s">
        <v>16</v>
      </c>
      <c r="B36" s="245">
        <v>34.700000000000003</v>
      </c>
      <c r="C36" s="245">
        <v>24.7</v>
      </c>
      <c r="D36" s="245">
        <v>18.600000000000001</v>
      </c>
      <c r="E36" s="245">
        <v>14.3</v>
      </c>
      <c r="F36" s="245">
        <v>7.7</v>
      </c>
      <c r="H36" s="245">
        <f t="shared" si="4"/>
        <v>17.076000000000004</v>
      </c>
      <c r="I36" s="245">
        <f t="shared" si="5"/>
        <v>4.1323117016991837</v>
      </c>
      <c r="K36" s="245">
        <f t="shared" si="6"/>
        <v>15.585000000000003</v>
      </c>
      <c r="L36" s="245">
        <f t="shared" si="7"/>
        <v>3.9477841886303766</v>
      </c>
    </row>
    <row r="37" spans="1:12" x14ac:dyDescent="0.25">
      <c r="A37" s="245" t="s">
        <v>17</v>
      </c>
      <c r="B37" s="245">
        <v>33.1</v>
      </c>
      <c r="C37" s="245">
        <v>28.8</v>
      </c>
      <c r="D37" s="245">
        <v>12.7</v>
      </c>
      <c r="E37" s="245">
        <v>17.8</v>
      </c>
      <c r="F37" s="245">
        <v>8.1999999999999993</v>
      </c>
      <c r="H37" s="245">
        <f t="shared" si="4"/>
        <v>17.48</v>
      </c>
      <c r="I37" s="245">
        <f t="shared" si="5"/>
        <v>4.1809089920733742</v>
      </c>
      <c r="K37" s="245">
        <f t="shared" si="6"/>
        <v>14.827500000000006</v>
      </c>
      <c r="L37" s="245">
        <f t="shared" si="7"/>
        <v>3.8506492958980316</v>
      </c>
    </row>
    <row r="38" spans="1:12" x14ac:dyDescent="0.25">
      <c r="A38" s="245" t="s">
        <v>18</v>
      </c>
      <c r="B38" s="245">
        <v>36.5</v>
      </c>
      <c r="C38" s="245">
        <v>25.3</v>
      </c>
      <c r="D38" s="245">
        <v>14.9</v>
      </c>
      <c r="E38" s="245">
        <v>14.3</v>
      </c>
      <c r="F38" s="245">
        <v>8.9</v>
      </c>
      <c r="H38" s="245">
        <f t="shared" si="4"/>
        <v>11.490000000000004</v>
      </c>
      <c r="I38" s="245">
        <f t="shared" si="5"/>
        <v>3.3896902513356593</v>
      </c>
      <c r="K38" s="245">
        <f t="shared" si="6"/>
        <v>5.3625000000000034</v>
      </c>
      <c r="L38" s="245">
        <f t="shared" si="7"/>
        <v>2.3157072353818831</v>
      </c>
    </row>
    <row r="39" spans="1:12" x14ac:dyDescent="0.25">
      <c r="A39" s="245" t="s">
        <v>19</v>
      </c>
      <c r="B39" s="245">
        <v>37.9</v>
      </c>
      <c r="C39" s="245">
        <v>25.8</v>
      </c>
      <c r="D39" s="245">
        <v>13.5</v>
      </c>
      <c r="E39" s="245">
        <v>14.4</v>
      </c>
      <c r="F39" s="245">
        <v>8.4</v>
      </c>
      <c r="H39" s="245">
        <f t="shared" si="4"/>
        <v>8.0240000000000045</v>
      </c>
      <c r="I39" s="245">
        <f t="shared" si="5"/>
        <v>2.8326665882168349</v>
      </c>
      <c r="K39" s="245">
        <f t="shared" si="6"/>
        <v>2.4675000000000038</v>
      </c>
      <c r="L39" s="245">
        <f t="shared" si="7"/>
        <v>1.570827807240502</v>
      </c>
    </row>
    <row r="40" spans="1:12" x14ac:dyDescent="0.25">
      <c r="A40" s="245" t="s">
        <v>37</v>
      </c>
      <c r="B40" s="245">
        <v>35.69</v>
      </c>
      <c r="C40" s="245">
        <v>22.96</v>
      </c>
      <c r="D40" s="245">
        <v>14.42</v>
      </c>
      <c r="E40" s="245">
        <v>18.420000000000002</v>
      </c>
      <c r="F40" s="245">
        <v>8.5</v>
      </c>
      <c r="H40" s="245">
        <f t="shared" si="4"/>
        <v>16.834500000000009</v>
      </c>
      <c r="I40" s="245">
        <f t="shared" si="5"/>
        <v>4.1029867170148151</v>
      </c>
      <c r="J40" s="21"/>
      <c r="K40" s="245">
        <f t="shared" si="6"/>
        <v>13.203125000000011</v>
      </c>
      <c r="L40" s="245">
        <f t="shared" si="7"/>
        <v>3.6336104634371598</v>
      </c>
    </row>
    <row r="41" spans="1:12" x14ac:dyDescent="0.25">
      <c r="A41" s="245" t="s">
        <v>38</v>
      </c>
      <c r="B41" s="245">
        <v>32.31</v>
      </c>
      <c r="C41" s="245">
        <v>27.07</v>
      </c>
      <c r="D41" s="245">
        <v>13.79</v>
      </c>
      <c r="E41" s="245">
        <v>17.899999999999999</v>
      </c>
      <c r="F41" s="245">
        <v>8.93</v>
      </c>
      <c r="H41" s="245">
        <f t="shared" si="4"/>
        <v>21.156399999999998</v>
      </c>
      <c r="I41" s="245">
        <f t="shared" si="5"/>
        <v>4.5996086790073782</v>
      </c>
      <c r="K41" s="245">
        <f t="shared" si="6"/>
        <v>17.355274999999999</v>
      </c>
      <c r="L41" s="245">
        <f t="shared" si="7"/>
        <v>4.1659662744674248</v>
      </c>
    </row>
    <row r="42" spans="1:12" x14ac:dyDescent="0.25">
      <c r="A42" s="245" t="s">
        <v>63</v>
      </c>
      <c r="B42" s="245">
        <v>31.84</v>
      </c>
      <c r="C42" s="245">
        <v>27.76</v>
      </c>
      <c r="D42" s="245">
        <v>12.51</v>
      </c>
      <c r="E42" s="245">
        <v>19.440000000000001</v>
      </c>
      <c r="F42" s="245">
        <v>8.4499999999999993</v>
      </c>
      <c r="H42" s="245">
        <f t="shared" si="4"/>
        <v>23.953480000000006</v>
      </c>
      <c r="I42" s="245">
        <f t="shared" si="5"/>
        <v>4.8942292549491393</v>
      </c>
      <c r="K42" s="245">
        <f t="shared" si="6"/>
        <v>22.241225000000014</v>
      </c>
      <c r="L42" s="245">
        <f t="shared" si="7"/>
        <v>4.7160603261620828</v>
      </c>
    </row>
    <row r="43" spans="1:12" x14ac:dyDescent="0.25">
      <c r="A43" s="21" t="s">
        <v>77</v>
      </c>
      <c r="B43" s="246"/>
      <c r="C43" s="246"/>
      <c r="D43" s="246"/>
      <c r="E43" s="246"/>
      <c r="F43" s="246"/>
      <c r="G43" s="21"/>
      <c r="H43" s="21" t="s">
        <v>72</v>
      </c>
      <c r="I43" s="21" t="s">
        <v>73</v>
      </c>
      <c r="K43" s="21" t="s">
        <v>70</v>
      </c>
      <c r="L43" s="21" t="s">
        <v>71</v>
      </c>
    </row>
    <row r="44" spans="1:12" x14ac:dyDescent="0.25">
      <c r="A44" s="244" t="s">
        <v>4</v>
      </c>
      <c r="B44" s="244">
        <v>34.200000000000003</v>
      </c>
      <c r="C44" s="244">
        <v>25</v>
      </c>
      <c r="D44" s="244">
        <v>16.8</v>
      </c>
      <c r="E44" s="244">
        <v>16.2</v>
      </c>
      <c r="F44" s="244">
        <v>7.8</v>
      </c>
      <c r="H44">
        <f>AVERAGE((B44-$B$2)^2,(C44-$C$2)^2,(D44-$D$2)^2,(E44-$E$2)^2,(F44-$F$2)^2)</f>
        <v>15.304000000000002</v>
      </c>
      <c r="I44">
        <f>SQRT(H44)</f>
        <v>3.9120327196995683</v>
      </c>
      <c r="K44">
        <f>AVERAGE((B44-$B$2)^2,(C44-$C$2)^2,(D44-$D$2)^2,(E44-$E$2)^2)</f>
        <v>13.1275</v>
      </c>
      <c r="L44">
        <f>SQRT(K44)</f>
        <v>3.6231892028984629</v>
      </c>
    </row>
    <row r="45" spans="1:12" x14ac:dyDescent="0.25">
      <c r="A45" s="244" t="s">
        <v>5</v>
      </c>
      <c r="B45" s="244">
        <v>34</v>
      </c>
      <c r="C45" s="244">
        <v>24.9</v>
      </c>
      <c r="D45" s="244">
        <v>16.399999999999999</v>
      </c>
      <c r="E45" s="244">
        <v>17</v>
      </c>
      <c r="F45" s="244">
        <v>7.8</v>
      </c>
      <c r="H45">
        <f t="shared" ref="H45:H62" si="8">AVERAGE((B45-$B$2)^2,(C45-$C$2)^2,(D45-$D$2)^2,(E45-$E$2)^2,(F45-$F$2)^2)</f>
        <v>15.886000000000006</v>
      </c>
      <c r="I45">
        <f t="shared" ref="I45:I62" si="9">SQRT(H45)</f>
        <v>3.9857245263565324</v>
      </c>
      <c r="K45">
        <f t="shared" ref="K45:K62" si="10">AVERAGE((B45-$B$2)^2,(C45-$C$2)^2,(D45-$D$2)^2,(E45-$E$2)^2)</f>
        <v>13.855000000000008</v>
      </c>
      <c r="L45">
        <f t="shared" ref="L45:L62" si="11">SQRT(K45)</f>
        <v>3.7222305140869509</v>
      </c>
    </row>
    <row r="46" spans="1:12" x14ac:dyDescent="0.25">
      <c r="A46" s="244" t="s">
        <v>6</v>
      </c>
      <c r="B46" s="244">
        <v>24.9</v>
      </c>
      <c r="C46" s="244">
        <v>33</v>
      </c>
      <c r="D46" s="244">
        <v>11.2</v>
      </c>
      <c r="E46" s="244">
        <v>10</v>
      </c>
      <c r="F46" s="244">
        <v>21</v>
      </c>
      <c r="H46">
        <f t="shared" si="8"/>
        <v>125.03400000000006</v>
      </c>
      <c r="I46">
        <f t="shared" si="9"/>
        <v>11.181860310341927</v>
      </c>
      <c r="K46">
        <f t="shared" si="10"/>
        <v>74.390000000000043</v>
      </c>
      <c r="L46">
        <f t="shared" si="11"/>
        <v>8.6249637680398425</v>
      </c>
    </row>
    <row r="47" spans="1:12" x14ac:dyDescent="0.25">
      <c r="A47" s="244" t="s">
        <v>7</v>
      </c>
      <c r="B47" s="244">
        <v>24.5</v>
      </c>
      <c r="C47" s="244">
        <v>34.5</v>
      </c>
      <c r="D47" s="244">
        <v>10.9</v>
      </c>
      <c r="E47" s="244">
        <v>8.5</v>
      </c>
      <c r="F47" s="244">
        <v>21.6</v>
      </c>
      <c r="H47">
        <f t="shared" si="8"/>
        <v>139.53200000000007</v>
      </c>
      <c r="I47">
        <f t="shared" si="9"/>
        <v>11.812366401360908</v>
      </c>
      <c r="K47">
        <f t="shared" si="10"/>
        <v>86.992500000000035</v>
      </c>
      <c r="L47">
        <f t="shared" si="11"/>
        <v>9.3269770022231775</v>
      </c>
    </row>
    <row r="48" spans="1:12" x14ac:dyDescent="0.25">
      <c r="A48" s="244" t="s">
        <v>8</v>
      </c>
      <c r="B48" s="244">
        <v>33.1</v>
      </c>
      <c r="C48" s="244">
        <v>25.7</v>
      </c>
      <c r="D48" s="244">
        <v>13.6</v>
      </c>
      <c r="E48" s="244">
        <v>13</v>
      </c>
      <c r="F48" s="244">
        <v>14.6</v>
      </c>
      <c r="H48">
        <f t="shared" si="8"/>
        <v>39.335999999999999</v>
      </c>
      <c r="I48">
        <f t="shared" si="9"/>
        <v>6.2718418347404139</v>
      </c>
      <c r="K48">
        <f t="shared" si="10"/>
        <v>14.947500000000007</v>
      </c>
      <c r="L48">
        <f t="shared" si="11"/>
        <v>3.8661996844446622</v>
      </c>
    </row>
    <row r="49" spans="1:12" x14ac:dyDescent="0.25">
      <c r="A49" s="244" t="s">
        <v>9</v>
      </c>
      <c r="B49" s="244">
        <v>29</v>
      </c>
      <c r="C49" s="244">
        <v>27.7</v>
      </c>
      <c r="D49" s="244">
        <v>11.6</v>
      </c>
      <c r="E49" s="244">
        <v>17.399999999999999</v>
      </c>
      <c r="F49" s="244">
        <v>14.3</v>
      </c>
      <c r="H49">
        <f t="shared" si="8"/>
        <v>53.020000000000017</v>
      </c>
      <c r="I49">
        <f t="shared" si="9"/>
        <v>7.281483365359013</v>
      </c>
      <c r="K49">
        <f t="shared" si="10"/>
        <v>33.785000000000018</v>
      </c>
      <c r="L49">
        <f t="shared" si="11"/>
        <v>5.8124865591242463</v>
      </c>
    </row>
    <row r="50" spans="1:12" x14ac:dyDescent="0.25">
      <c r="A50" t="s">
        <v>34</v>
      </c>
      <c r="B50">
        <v>36.64</v>
      </c>
      <c r="C50">
        <v>23.39</v>
      </c>
      <c r="D50">
        <v>16.7</v>
      </c>
      <c r="E50">
        <v>15.3</v>
      </c>
      <c r="F50">
        <v>7.96</v>
      </c>
      <c r="H50">
        <f t="shared" si="8"/>
        <v>12.938660000000002</v>
      </c>
      <c r="I50">
        <f t="shared" si="9"/>
        <v>3.5970348900170546</v>
      </c>
      <c r="K50">
        <f t="shared" si="10"/>
        <v>9.7724250000000001</v>
      </c>
      <c r="L50">
        <f t="shared" si="11"/>
        <v>3.1260878106668724</v>
      </c>
    </row>
    <row r="51" spans="1:12" x14ac:dyDescent="0.25">
      <c r="A51" t="s">
        <v>27</v>
      </c>
      <c r="B51">
        <v>37.54</v>
      </c>
      <c r="C51">
        <v>22.94</v>
      </c>
      <c r="D51">
        <v>17.05</v>
      </c>
      <c r="E51">
        <v>15.06</v>
      </c>
      <c r="F51">
        <v>7.41</v>
      </c>
      <c r="H51">
        <f t="shared" si="8"/>
        <v>12.010680000000001</v>
      </c>
      <c r="I51">
        <f t="shared" si="9"/>
        <v>3.4656427975196751</v>
      </c>
      <c r="K51">
        <f t="shared" si="10"/>
        <v>9.928325000000001</v>
      </c>
      <c r="L51">
        <f t="shared" si="11"/>
        <v>3.1509244675174304</v>
      </c>
    </row>
    <row r="52" spans="1:12" x14ac:dyDescent="0.25">
      <c r="A52" t="s">
        <v>28</v>
      </c>
      <c r="B52">
        <v>28.77</v>
      </c>
      <c r="C52">
        <v>32.979999999999997</v>
      </c>
      <c r="D52">
        <v>12.46</v>
      </c>
      <c r="E52">
        <v>5.62</v>
      </c>
      <c r="F52">
        <v>20.170000000000002</v>
      </c>
      <c r="H52">
        <f t="shared" si="8"/>
        <v>110.51044000000002</v>
      </c>
      <c r="I52">
        <f t="shared" si="9"/>
        <v>10.512394589245593</v>
      </c>
      <c r="K52">
        <f t="shared" si="10"/>
        <v>63.574825000000004</v>
      </c>
      <c r="L52">
        <f t="shared" si="11"/>
        <v>7.9733822810649189</v>
      </c>
    </row>
    <row r="53" spans="1:12" x14ac:dyDescent="0.25">
      <c r="A53" t="s">
        <v>29</v>
      </c>
      <c r="B53">
        <v>28.01</v>
      </c>
      <c r="C53">
        <v>32.299999999999997</v>
      </c>
      <c r="D53">
        <v>12.22</v>
      </c>
      <c r="E53">
        <v>5.54</v>
      </c>
      <c r="F53">
        <v>21.92</v>
      </c>
      <c r="H53">
        <f t="shared" si="8"/>
        <v>125.91930000000002</v>
      </c>
      <c r="I53">
        <f t="shared" si="9"/>
        <v>11.22137692085958</v>
      </c>
      <c r="K53">
        <f t="shared" si="10"/>
        <v>66.959024999999997</v>
      </c>
      <c r="L53">
        <f t="shared" si="11"/>
        <v>8.1828494425841658</v>
      </c>
    </row>
    <row r="54" spans="1:12" x14ac:dyDescent="0.25">
      <c r="A54" t="s">
        <v>35</v>
      </c>
      <c r="B54">
        <v>31.15</v>
      </c>
      <c r="C54">
        <v>25.95</v>
      </c>
      <c r="D54">
        <v>13.25</v>
      </c>
      <c r="E54">
        <v>14.04</v>
      </c>
      <c r="F54">
        <v>15.62</v>
      </c>
      <c r="H54">
        <f t="shared" si="8"/>
        <v>49.754700000000007</v>
      </c>
      <c r="I54">
        <f t="shared" si="9"/>
        <v>7.0537011561307308</v>
      </c>
      <c r="K54">
        <f t="shared" si="10"/>
        <v>21.743775000000021</v>
      </c>
      <c r="L54">
        <f t="shared" si="11"/>
        <v>4.6630220887317293</v>
      </c>
    </row>
    <row r="55" spans="1:12" x14ac:dyDescent="0.25">
      <c r="A55" t="s">
        <v>36</v>
      </c>
      <c r="B55">
        <v>28.01</v>
      </c>
      <c r="C55">
        <v>32.299999999999997</v>
      </c>
      <c r="D55">
        <v>12.22</v>
      </c>
      <c r="E55">
        <v>5.54</v>
      </c>
      <c r="F55">
        <v>21.92</v>
      </c>
      <c r="H55">
        <f t="shared" si="8"/>
        <v>125.91930000000002</v>
      </c>
      <c r="I55">
        <f t="shared" si="9"/>
        <v>11.22137692085958</v>
      </c>
      <c r="K55">
        <f t="shared" si="10"/>
        <v>66.959024999999997</v>
      </c>
      <c r="L55">
        <f t="shared" si="11"/>
        <v>8.1828494425841658</v>
      </c>
    </row>
    <row r="56" spans="1:12" x14ac:dyDescent="0.25">
      <c r="A56" s="245" t="s">
        <v>16</v>
      </c>
      <c r="B56" s="245">
        <v>34.799999999999997</v>
      </c>
      <c r="C56" s="245">
        <v>24.8</v>
      </c>
      <c r="D56" s="245">
        <v>18.5</v>
      </c>
      <c r="E56" s="245">
        <v>14.3</v>
      </c>
      <c r="F56" s="245">
        <v>7.6</v>
      </c>
      <c r="H56" s="245">
        <f t="shared" si="8"/>
        <v>16.364000000000008</v>
      </c>
      <c r="I56" s="245">
        <f t="shared" si="9"/>
        <v>4.0452441211872499</v>
      </c>
      <c r="K56" s="245">
        <f t="shared" si="10"/>
        <v>14.932500000000012</v>
      </c>
      <c r="L56" s="245">
        <f t="shared" si="11"/>
        <v>3.8642593080692724</v>
      </c>
    </row>
    <row r="57" spans="1:12" x14ac:dyDescent="0.25">
      <c r="A57" s="245" t="s">
        <v>17</v>
      </c>
      <c r="B57" s="245">
        <v>33.5</v>
      </c>
      <c r="C57" s="245">
        <v>28.9</v>
      </c>
      <c r="D57" s="245">
        <v>12.6</v>
      </c>
      <c r="E57" s="245">
        <v>17.7</v>
      </c>
      <c r="F57" s="245">
        <v>8.1999999999999993</v>
      </c>
      <c r="H57" s="245">
        <f t="shared" si="8"/>
        <v>16.374000000000002</v>
      </c>
      <c r="I57" s="245">
        <f t="shared" si="9"/>
        <v>4.0464799517605421</v>
      </c>
      <c r="J57" s="21"/>
      <c r="K57" s="245">
        <f t="shared" si="10"/>
        <v>13.445000000000007</v>
      </c>
      <c r="L57" s="245">
        <f t="shared" si="11"/>
        <v>3.666742423459822</v>
      </c>
    </row>
    <row r="58" spans="1:12" x14ac:dyDescent="0.25">
      <c r="A58" s="245" t="s">
        <v>18</v>
      </c>
      <c r="B58" s="245">
        <v>36.6</v>
      </c>
      <c r="C58" s="245">
        <v>25.3</v>
      </c>
      <c r="D58" s="245">
        <v>14.9</v>
      </c>
      <c r="E58" s="245">
        <v>14.2</v>
      </c>
      <c r="F58" s="245">
        <v>8.9</v>
      </c>
      <c r="H58" s="245">
        <f t="shared" si="8"/>
        <v>11.386000000000001</v>
      </c>
      <c r="I58" s="245">
        <f t="shared" si="9"/>
        <v>3.3743147452482853</v>
      </c>
      <c r="K58" s="245">
        <f t="shared" si="10"/>
        <v>5.2325000000000017</v>
      </c>
      <c r="L58" s="245">
        <f t="shared" si="11"/>
        <v>2.287465846739575</v>
      </c>
    </row>
    <row r="59" spans="1:12" x14ac:dyDescent="0.25">
      <c r="A59" s="245" t="s">
        <v>19</v>
      </c>
      <c r="B59" s="245">
        <v>38.6</v>
      </c>
      <c r="C59" s="245">
        <v>25.6</v>
      </c>
      <c r="D59" s="245">
        <v>13.8</v>
      </c>
      <c r="E59" s="245">
        <v>13.7</v>
      </c>
      <c r="F59" s="245">
        <v>8.6999999999999993</v>
      </c>
      <c r="H59" s="245">
        <f t="shared" si="8"/>
        <v>8.6359999999999975</v>
      </c>
      <c r="I59" s="245">
        <f t="shared" si="9"/>
        <v>2.9387071987525393</v>
      </c>
      <c r="K59" s="245">
        <f t="shared" si="10"/>
        <v>2.3849999999999998</v>
      </c>
      <c r="L59" s="245">
        <f t="shared" si="11"/>
        <v>1.54434452114805</v>
      </c>
    </row>
    <row r="60" spans="1:12" x14ac:dyDescent="0.25">
      <c r="A60" s="245" t="s">
        <v>37</v>
      </c>
      <c r="B60" s="245">
        <v>35.479999999999997</v>
      </c>
      <c r="C60" s="245">
        <v>22.86</v>
      </c>
      <c r="D60" s="245">
        <v>14.37</v>
      </c>
      <c r="E60" s="245">
        <v>18.68</v>
      </c>
      <c r="F60" s="245">
        <v>8.6199999999999992</v>
      </c>
      <c r="H60" s="245">
        <f t="shared" si="8"/>
        <v>18.013540000000006</v>
      </c>
      <c r="I60" s="245">
        <f t="shared" si="9"/>
        <v>4.2442360914539154</v>
      </c>
      <c r="K60" s="245">
        <f t="shared" si="10"/>
        <v>14.337325000000011</v>
      </c>
      <c r="L60" s="245">
        <f t="shared" si="11"/>
        <v>3.7864660304827784</v>
      </c>
    </row>
    <row r="61" spans="1:12" x14ac:dyDescent="0.25">
      <c r="A61" s="245" t="s">
        <v>38</v>
      </c>
      <c r="B61" s="245">
        <v>32.549999999999997</v>
      </c>
      <c r="C61" s="245">
        <v>26.89</v>
      </c>
      <c r="D61" s="245">
        <v>13.82</v>
      </c>
      <c r="E61" s="245">
        <v>17.940000000000001</v>
      </c>
      <c r="F61" s="245">
        <v>8.8000000000000007</v>
      </c>
      <c r="H61" s="245">
        <f t="shared" si="8"/>
        <v>20.192920000000019</v>
      </c>
      <c r="I61" s="245">
        <f t="shared" si="9"/>
        <v>4.4936533021585028</v>
      </c>
      <c r="K61" s="245">
        <f t="shared" si="10"/>
        <v>16.538650000000022</v>
      </c>
      <c r="L61" s="245">
        <f t="shared" si="11"/>
        <v>4.0667739056898675</v>
      </c>
    </row>
    <row r="62" spans="1:12" x14ac:dyDescent="0.25">
      <c r="A62" s="245" t="s">
        <v>63</v>
      </c>
      <c r="B62" s="245">
        <v>32.18</v>
      </c>
      <c r="C62" s="245">
        <v>27.3</v>
      </c>
      <c r="D62" s="245">
        <v>12.69</v>
      </c>
      <c r="E62" s="245">
        <v>19.350000000000001</v>
      </c>
      <c r="F62" s="245">
        <v>8.48</v>
      </c>
      <c r="H62" s="245">
        <f t="shared" si="8"/>
        <v>22.696680000000008</v>
      </c>
      <c r="I62" s="245">
        <f t="shared" si="9"/>
        <v>4.7641032734398197</v>
      </c>
      <c r="K62" s="245">
        <f t="shared" si="10"/>
        <v>20.586750000000013</v>
      </c>
      <c r="L62" s="245">
        <f t="shared" si="11"/>
        <v>4.5372623904729172</v>
      </c>
    </row>
    <row r="63" spans="1:12" x14ac:dyDescent="0.25">
      <c r="A63" s="21" t="s">
        <v>78</v>
      </c>
      <c r="B63" s="246"/>
      <c r="C63" s="246"/>
      <c r="D63" s="246"/>
      <c r="E63" s="246"/>
      <c r="F63" s="246"/>
      <c r="G63" s="21"/>
      <c r="H63" s="21" t="s">
        <v>72</v>
      </c>
      <c r="I63" s="21" t="s">
        <v>73</v>
      </c>
      <c r="K63" s="21" t="s">
        <v>70</v>
      </c>
      <c r="L63" s="21" t="s">
        <v>71</v>
      </c>
    </row>
    <row r="64" spans="1:12" x14ac:dyDescent="0.25">
      <c r="A64" s="244" t="s">
        <v>4</v>
      </c>
      <c r="B64" s="244">
        <v>34.1</v>
      </c>
      <c r="C64" s="244">
        <v>25</v>
      </c>
      <c r="D64" s="244">
        <v>16.8</v>
      </c>
      <c r="E64" s="244">
        <v>16.399999999999999</v>
      </c>
      <c r="F64" s="244">
        <v>7.8</v>
      </c>
      <c r="H64">
        <f>AVERAGE((B64-$B$2)^2,(C64-$C$2)^2,(D64-$D$2)^2,(E64-$E$2)^2,(F64-$F$2)^2)</f>
        <v>15.626000000000005</v>
      </c>
      <c r="I64">
        <f>SQRT(H64)</f>
        <v>3.9529735642930888</v>
      </c>
      <c r="K64">
        <f>AVERAGE((B64-$B$2)^2,(C64-$C$2)^2,(D64-$D$2)^2,(E64-$E$2)^2)</f>
        <v>13.530000000000003</v>
      </c>
      <c r="L64">
        <f>SQRT(K64)</f>
        <v>3.6783148315499048</v>
      </c>
    </row>
    <row r="65" spans="1:12" x14ac:dyDescent="0.25">
      <c r="A65" s="244" t="s">
        <v>5</v>
      </c>
      <c r="B65" s="244">
        <v>33.9</v>
      </c>
      <c r="C65" s="244">
        <v>24.9</v>
      </c>
      <c r="D65" s="244">
        <v>16.399999999999999</v>
      </c>
      <c r="E65" s="244">
        <v>17</v>
      </c>
      <c r="F65" s="244">
        <v>7.8</v>
      </c>
      <c r="H65">
        <f t="shared" ref="H65:H75" si="12">AVERAGE((B65-$B$2)^2,(C65-$C$2)^2,(D65-$D$2)^2,(E65-$E$2)^2,(F65-$F$2)^2)</f>
        <v>16.136000000000013</v>
      </c>
      <c r="I65">
        <f t="shared" ref="I65:I82" si="13">SQRT(H65)</f>
        <v>4.016964027720439</v>
      </c>
      <c r="K65">
        <f t="shared" ref="K65:K82" si="14">AVERAGE((B65-$B$2)^2,(C65-$C$2)^2,(D65-$D$2)^2,(E65-$E$2)^2)</f>
        <v>14.167500000000013</v>
      </c>
      <c r="L65">
        <f t="shared" ref="L65:L82" si="15">SQRT(K65)</f>
        <v>3.7639739637781786</v>
      </c>
    </row>
    <row r="66" spans="1:12" x14ac:dyDescent="0.25">
      <c r="A66" s="244" t="s">
        <v>6</v>
      </c>
      <c r="B66" s="244">
        <v>25</v>
      </c>
      <c r="C66" s="244">
        <v>33.1</v>
      </c>
      <c r="D66" s="244">
        <v>11.3</v>
      </c>
      <c r="E66" s="244">
        <v>9.8000000000000007</v>
      </c>
      <c r="F66" s="244">
        <v>20.7</v>
      </c>
      <c r="H66">
        <f t="shared" si="12"/>
        <v>122.81000000000003</v>
      </c>
      <c r="I66">
        <f t="shared" si="13"/>
        <v>11.081967334368029</v>
      </c>
      <c r="K66">
        <f t="shared" si="14"/>
        <v>74.302500000000023</v>
      </c>
      <c r="L66">
        <f t="shared" si="15"/>
        <v>8.6198897904787639</v>
      </c>
    </row>
    <row r="67" spans="1:12" x14ac:dyDescent="0.25">
      <c r="A67" s="244" t="s">
        <v>7</v>
      </c>
      <c r="B67" s="244">
        <v>24.4</v>
      </c>
      <c r="C67" s="244">
        <v>34.9</v>
      </c>
      <c r="D67" s="244">
        <v>10.8</v>
      </c>
      <c r="E67" s="244">
        <v>8.1</v>
      </c>
      <c r="F67" s="244">
        <v>21.8</v>
      </c>
      <c r="H67">
        <f t="shared" si="12"/>
        <v>144.02800000000008</v>
      </c>
      <c r="I67">
        <f t="shared" si="13"/>
        <v>12.00116660995922</v>
      </c>
      <c r="K67">
        <f t="shared" si="14"/>
        <v>90.732500000000044</v>
      </c>
      <c r="L67">
        <f t="shared" si="15"/>
        <v>9.5253608855517928</v>
      </c>
    </row>
    <row r="68" spans="1:12" x14ac:dyDescent="0.25">
      <c r="A68" s="244" t="s">
        <v>8</v>
      </c>
      <c r="B68" s="244">
        <v>32.799999999999997</v>
      </c>
      <c r="C68" s="244">
        <v>25.6</v>
      </c>
      <c r="D68" s="244">
        <v>13.3</v>
      </c>
      <c r="E68" s="244">
        <v>13.5</v>
      </c>
      <c r="F68" s="244">
        <v>14.8</v>
      </c>
      <c r="H68">
        <f t="shared" si="12"/>
        <v>40.876000000000019</v>
      </c>
      <c r="I68">
        <f t="shared" si="13"/>
        <v>6.3934341319825938</v>
      </c>
      <c r="K68">
        <f t="shared" si="14"/>
        <v>15.692500000000019</v>
      </c>
      <c r="L68">
        <f t="shared" si="15"/>
        <v>3.9613760235554536</v>
      </c>
    </row>
    <row r="69" spans="1:12" x14ac:dyDescent="0.25">
      <c r="A69" s="244" t="s">
        <v>9</v>
      </c>
      <c r="B69" s="244">
        <v>28.8</v>
      </c>
      <c r="C69" s="244">
        <v>27.6</v>
      </c>
      <c r="D69" s="244">
        <v>11.4</v>
      </c>
      <c r="E69" s="244">
        <v>17.600000000000001</v>
      </c>
      <c r="F69" s="244">
        <v>14.5</v>
      </c>
      <c r="H69">
        <f t="shared" si="12"/>
        <v>55.214000000000013</v>
      </c>
      <c r="I69">
        <f t="shared" si="13"/>
        <v>7.4306123569999274</v>
      </c>
      <c r="K69">
        <f t="shared" si="14"/>
        <v>35.377500000000005</v>
      </c>
      <c r="L69">
        <f t="shared" si="15"/>
        <v>5.9478987886479713</v>
      </c>
    </row>
    <row r="70" spans="1:12" x14ac:dyDescent="0.25">
      <c r="A70" t="s">
        <v>34</v>
      </c>
      <c r="B70">
        <v>36.6</v>
      </c>
      <c r="C70">
        <v>23.4</v>
      </c>
      <c r="D70">
        <v>16.7</v>
      </c>
      <c r="E70">
        <v>15.3</v>
      </c>
      <c r="F70">
        <v>7.9</v>
      </c>
      <c r="H70">
        <f t="shared" si="12"/>
        <v>12.858000000000004</v>
      </c>
      <c r="I70">
        <f t="shared" si="13"/>
        <v>3.5858053488721335</v>
      </c>
      <c r="K70">
        <f t="shared" si="14"/>
        <v>9.8225000000000033</v>
      </c>
      <c r="L70">
        <f t="shared" si="15"/>
        <v>3.1340867888429642</v>
      </c>
    </row>
    <row r="71" spans="1:12" x14ac:dyDescent="0.25">
      <c r="A71" t="s">
        <v>27</v>
      </c>
      <c r="B71">
        <v>37.4</v>
      </c>
      <c r="C71">
        <v>23.1</v>
      </c>
      <c r="D71">
        <v>17</v>
      </c>
      <c r="E71">
        <v>15.1</v>
      </c>
      <c r="F71">
        <v>7.4</v>
      </c>
      <c r="H71">
        <f t="shared" si="12"/>
        <v>11.78</v>
      </c>
      <c r="I71">
        <f t="shared" si="13"/>
        <v>3.4322004603461025</v>
      </c>
      <c r="K71">
        <f t="shared" si="14"/>
        <v>9.6624999999999996</v>
      </c>
      <c r="L71">
        <f t="shared" si="15"/>
        <v>3.1084562084739105</v>
      </c>
    </row>
    <row r="72" spans="1:12" x14ac:dyDescent="0.25">
      <c r="A72" t="s">
        <v>28</v>
      </c>
      <c r="B72">
        <v>28.9</v>
      </c>
      <c r="C72">
        <v>33.200000000000003</v>
      </c>
      <c r="D72">
        <v>12.3</v>
      </c>
      <c r="E72">
        <v>5.4</v>
      </c>
      <c r="F72">
        <v>20.3</v>
      </c>
      <c r="H72">
        <f t="shared" si="12"/>
        <v>112.25400000000005</v>
      </c>
      <c r="I72">
        <f t="shared" si="13"/>
        <v>10.594998820198143</v>
      </c>
      <c r="K72">
        <f t="shared" si="14"/>
        <v>64.62750000000004</v>
      </c>
      <c r="L72">
        <f t="shared" si="15"/>
        <v>8.0391230865063914</v>
      </c>
    </row>
    <row r="73" spans="1:12" x14ac:dyDescent="0.25">
      <c r="A73" t="s">
        <v>29</v>
      </c>
      <c r="B73">
        <v>27.8</v>
      </c>
      <c r="C73">
        <v>32.200000000000003</v>
      </c>
      <c r="D73">
        <v>12.1</v>
      </c>
      <c r="E73">
        <v>5.6</v>
      </c>
      <c r="F73">
        <v>22.2</v>
      </c>
      <c r="H73">
        <f t="shared" si="12"/>
        <v>128.76600000000002</v>
      </c>
      <c r="I73">
        <f t="shared" si="13"/>
        <v>11.347510740246074</v>
      </c>
      <c r="K73">
        <f t="shared" si="14"/>
        <v>67.835000000000022</v>
      </c>
      <c r="L73">
        <f t="shared" si="15"/>
        <v>8.2362005803647129</v>
      </c>
    </row>
    <row r="74" spans="1:12" x14ac:dyDescent="0.25">
      <c r="A74" t="s">
        <v>35</v>
      </c>
      <c r="B74">
        <v>30.2</v>
      </c>
      <c r="C74">
        <v>25.8</v>
      </c>
      <c r="D74">
        <v>12.9</v>
      </c>
      <c r="E74">
        <v>15.4</v>
      </c>
      <c r="F74">
        <v>15.7</v>
      </c>
      <c r="H74">
        <f t="shared" si="12"/>
        <v>53.692000000000007</v>
      </c>
      <c r="I74">
        <f t="shared" si="13"/>
        <v>7.3274825144793088</v>
      </c>
      <c r="K74">
        <f t="shared" si="14"/>
        <v>26.155000000000019</v>
      </c>
      <c r="L74">
        <f t="shared" si="15"/>
        <v>5.1141959289804317</v>
      </c>
    </row>
    <row r="75" spans="1:12" x14ac:dyDescent="0.25">
      <c r="A75" t="s">
        <v>36</v>
      </c>
      <c r="B75">
        <v>27.4</v>
      </c>
      <c r="C75">
        <v>29.6</v>
      </c>
      <c r="D75">
        <v>12.6</v>
      </c>
      <c r="E75">
        <v>15.5</v>
      </c>
      <c r="F75">
        <v>14.8</v>
      </c>
      <c r="H75">
        <f t="shared" si="12"/>
        <v>62.15800000000003</v>
      </c>
      <c r="I75">
        <f t="shared" si="13"/>
        <v>7.8840345001781946</v>
      </c>
      <c r="K75">
        <f t="shared" si="14"/>
        <v>42.29500000000003</v>
      </c>
      <c r="L75">
        <f t="shared" si="15"/>
        <v>6.5034606172406422</v>
      </c>
    </row>
    <row r="76" spans="1:12" x14ac:dyDescent="0.25">
      <c r="A76" s="245" t="s">
        <v>16</v>
      </c>
      <c r="B76" s="245">
        <v>34.700000000000003</v>
      </c>
      <c r="C76" s="245">
        <v>24.7</v>
      </c>
      <c r="D76" s="245">
        <v>18.5</v>
      </c>
      <c r="E76" s="245">
        <v>14.4</v>
      </c>
      <c r="F76" s="245">
        <v>7.5</v>
      </c>
      <c r="H76" s="245">
        <f>AVERAGE((B76-$B$2)^2,(C76-$C$2)^2,(D76-$D$2)^2,(E76-$E$2)^2,(F76-$F$2)^2)</f>
        <v>16.475999999999999</v>
      </c>
      <c r="I76" s="245">
        <f t="shared" si="13"/>
        <v>4.0590639314994776</v>
      </c>
      <c r="K76" s="245">
        <f t="shared" si="14"/>
        <v>15.305</v>
      </c>
      <c r="L76" s="245">
        <f t="shared" si="15"/>
        <v>3.9121605284037106</v>
      </c>
    </row>
    <row r="77" spans="1:12" x14ac:dyDescent="0.25">
      <c r="A77" s="245" t="s">
        <v>17</v>
      </c>
      <c r="B77" s="245">
        <v>32.9</v>
      </c>
      <c r="C77" s="245">
        <v>28.8</v>
      </c>
      <c r="D77" s="245">
        <v>12.5</v>
      </c>
      <c r="E77" s="245">
        <v>17.7</v>
      </c>
      <c r="F77" s="245">
        <v>8.1</v>
      </c>
      <c r="H77" s="245">
        <f t="shared" ref="H77:H82" si="16">AVERAGE((B77-$B$2)^2,(C77-$C$2)^2,(D77-$D$2)^2,(E77-$E$2)^2,(F77-$F$2)^2)</f>
        <v>17.852000000000011</v>
      </c>
      <c r="I77" s="245">
        <f t="shared" si="13"/>
        <v>4.2251627187600729</v>
      </c>
      <c r="K77" s="245">
        <f t="shared" si="14"/>
        <v>15.555000000000014</v>
      </c>
      <c r="L77" s="245">
        <f t="shared" si="15"/>
        <v>3.9439827585830054</v>
      </c>
    </row>
    <row r="78" spans="1:12" x14ac:dyDescent="0.25">
      <c r="A78" s="245" t="s">
        <v>18</v>
      </c>
      <c r="B78" s="245">
        <v>36.5</v>
      </c>
      <c r="C78" s="245">
        <v>25.3</v>
      </c>
      <c r="D78" s="245">
        <v>14.9</v>
      </c>
      <c r="E78" s="245">
        <v>14.4</v>
      </c>
      <c r="F78" s="245">
        <v>8.9</v>
      </c>
      <c r="H78" s="245">
        <f t="shared" si="16"/>
        <v>11.452000000000004</v>
      </c>
      <c r="I78" s="245">
        <f t="shared" si="13"/>
        <v>3.3840803772960246</v>
      </c>
      <c r="K78" s="245">
        <f t="shared" si="14"/>
        <v>5.3150000000000039</v>
      </c>
      <c r="L78" s="245">
        <f t="shared" si="15"/>
        <v>2.3054283766797017</v>
      </c>
    </row>
    <row r="79" spans="1:12" x14ac:dyDescent="0.25">
      <c r="A79" s="245" t="s">
        <v>19</v>
      </c>
      <c r="B79" s="245">
        <v>37.9</v>
      </c>
      <c r="C79" s="245">
        <v>25.8</v>
      </c>
      <c r="D79" s="245">
        <v>13.5</v>
      </c>
      <c r="E79" s="245">
        <v>14.4</v>
      </c>
      <c r="F79" s="245">
        <v>8.4</v>
      </c>
      <c r="H79" s="245">
        <f t="shared" si="16"/>
        <v>8.0240000000000045</v>
      </c>
      <c r="I79" s="245">
        <f t="shared" si="13"/>
        <v>2.8326665882168349</v>
      </c>
      <c r="K79" s="245">
        <f t="shared" si="14"/>
        <v>2.4675000000000038</v>
      </c>
      <c r="L79" s="245">
        <f t="shared" si="15"/>
        <v>1.570827807240502</v>
      </c>
    </row>
    <row r="80" spans="1:12" x14ac:dyDescent="0.25">
      <c r="A80" s="245" t="s">
        <v>37</v>
      </c>
      <c r="B80" s="245">
        <v>35.6</v>
      </c>
      <c r="C80" s="245">
        <v>22.9</v>
      </c>
      <c r="D80" s="245">
        <v>14.4</v>
      </c>
      <c r="E80" s="245">
        <v>18.5</v>
      </c>
      <c r="F80" s="245">
        <v>8.5</v>
      </c>
      <c r="H80" s="245">
        <f t="shared" si="16"/>
        <v>17.21</v>
      </c>
      <c r="I80" s="245">
        <f t="shared" si="13"/>
        <v>4.1484937025383077</v>
      </c>
      <c r="K80" s="245">
        <f t="shared" si="14"/>
        <v>13.672500000000003</v>
      </c>
      <c r="L80" s="245">
        <f t="shared" si="15"/>
        <v>3.6976343788968649</v>
      </c>
    </row>
    <row r="81" spans="1:12" x14ac:dyDescent="0.25">
      <c r="A81" s="245" t="s">
        <v>38</v>
      </c>
      <c r="B81" s="245">
        <v>32.200000000000003</v>
      </c>
      <c r="C81" s="245">
        <v>27.1</v>
      </c>
      <c r="D81" s="245">
        <v>13.8</v>
      </c>
      <c r="E81" s="245">
        <v>17.899999999999999</v>
      </c>
      <c r="F81" s="245">
        <v>8.9</v>
      </c>
      <c r="H81" s="245">
        <f t="shared" si="16"/>
        <v>21.425999999999998</v>
      </c>
      <c r="I81" s="245">
        <f t="shared" si="13"/>
        <v>4.6288227444999448</v>
      </c>
      <c r="K81" s="245">
        <f t="shared" si="14"/>
        <v>17.782499999999999</v>
      </c>
      <c r="L81" s="245">
        <f t="shared" si="15"/>
        <v>4.2169301630451503</v>
      </c>
    </row>
    <row r="82" spans="1:12" x14ac:dyDescent="0.25">
      <c r="A82" s="245" t="s">
        <v>63</v>
      </c>
      <c r="B82" s="245">
        <v>32.119999999999997</v>
      </c>
      <c r="C82" s="245">
        <v>27.62</v>
      </c>
      <c r="D82" s="245">
        <v>12.64</v>
      </c>
      <c r="E82" s="245">
        <v>19.2</v>
      </c>
      <c r="F82" s="245">
        <v>8.42</v>
      </c>
      <c r="H82" s="245">
        <f t="shared" si="16"/>
        <v>22.512160000000016</v>
      </c>
      <c r="I82" s="245">
        <f t="shared" si="13"/>
        <v>4.7446980936620209</v>
      </c>
      <c r="K82" s="245">
        <f t="shared" si="14"/>
        <v>20.522600000000018</v>
      </c>
      <c r="L82" s="245">
        <f t="shared" si="15"/>
        <v>4.5301876340831644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7203-AA28-4845-8EEB-34C7DB33810D}">
  <dimension ref="A1:L74"/>
  <sheetViews>
    <sheetView workbookViewId="0">
      <selection activeCell="H1" sqref="H1:L3"/>
    </sheetView>
  </sheetViews>
  <sheetFormatPr baseColWidth="10" defaultRowHeight="15" x14ac:dyDescent="0.25"/>
  <cols>
    <col min="1" max="1" width="39.42578125" customWidth="1"/>
    <col min="8" max="8" width="13.42578125" customWidth="1"/>
    <col min="9" max="9" width="13.85546875" customWidth="1"/>
  </cols>
  <sheetData>
    <row r="1" spans="1:12" x14ac:dyDescent="0.25">
      <c r="A1" s="21"/>
      <c r="B1" s="21" t="s">
        <v>0</v>
      </c>
      <c r="C1" s="21" t="s">
        <v>1</v>
      </c>
      <c r="D1" s="21" t="s">
        <v>74</v>
      </c>
      <c r="E1" s="21" t="s">
        <v>3</v>
      </c>
      <c r="F1" s="21" t="s">
        <v>68</v>
      </c>
      <c r="G1" s="21"/>
      <c r="H1" s="21" t="s">
        <v>72</v>
      </c>
      <c r="I1" s="21" t="s">
        <v>73</v>
      </c>
      <c r="K1" s="21" t="s">
        <v>70</v>
      </c>
      <c r="L1" s="21" t="s">
        <v>71</v>
      </c>
    </row>
    <row r="2" spans="1:12" x14ac:dyDescent="0.25">
      <c r="A2" s="243" t="s">
        <v>79</v>
      </c>
      <c r="B2" s="243">
        <v>36.4</v>
      </c>
      <c r="C2" s="243">
        <v>33.5</v>
      </c>
      <c r="D2" s="243">
        <v>15.3</v>
      </c>
      <c r="E2" s="243">
        <v>12</v>
      </c>
      <c r="F2" s="243">
        <v>2.8</v>
      </c>
      <c r="G2" s="243"/>
      <c r="H2" s="243"/>
      <c r="I2" s="243"/>
      <c r="J2" s="243"/>
      <c r="K2" s="243"/>
      <c r="L2" s="243"/>
    </row>
    <row r="3" spans="1:12" x14ac:dyDescent="0.25">
      <c r="A3" s="21" t="s">
        <v>75</v>
      </c>
      <c r="B3" s="21"/>
      <c r="C3" s="21"/>
      <c r="D3" s="21"/>
      <c r="E3" s="21"/>
      <c r="F3" s="21"/>
      <c r="G3" s="21"/>
      <c r="H3" s="21" t="s">
        <v>72</v>
      </c>
      <c r="I3" s="21" t="s">
        <v>73</v>
      </c>
      <c r="J3" s="21"/>
      <c r="K3" s="21" t="s">
        <v>70</v>
      </c>
      <c r="L3" s="21" t="s">
        <v>71</v>
      </c>
    </row>
    <row r="4" spans="1:12" x14ac:dyDescent="0.25">
      <c r="A4" t="s">
        <v>80</v>
      </c>
      <c r="B4">
        <v>32.47</v>
      </c>
      <c r="C4">
        <v>27.44</v>
      </c>
      <c r="D4">
        <v>17.55</v>
      </c>
      <c r="E4">
        <v>14.37</v>
      </c>
      <c r="F4">
        <v>8.17</v>
      </c>
      <c r="H4">
        <f>AVERAGE((B4-$B$2)^2,(C4-$C$2)^2,(D4-$D$2)^2,(E4-$E$2)^2,(F4-$F$2)^2)</f>
        <v>18.336959999999994</v>
      </c>
      <c r="I4">
        <f>SQRT(H4)</f>
        <v>4.2821676753719018</v>
      </c>
      <c r="K4">
        <f>AVERAGE((B4-$B$2)^2,(C4-$C$2)^2,(D4-$D$2)^2,(E4-$E$2)^2)</f>
        <v>15.711974999999994</v>
      </c>
      <c r="L4">
        <f>SQRT(K4)</f>
        <v>3.9638333718762691</v>
      </c>
    </row>
    <row r="5" spans="1:12" x14ac:dyDescent="0.25">
      <c r="A5" t="s">
        <v>81</v>
      </c>
      <c r="B5">
        <v>33.56</v>
      </c>
      <c r="C5">
        <v>26.24</v>
      </c>
      <c r="D5">
        <v>13.93</v>
      </c>
      <c r="E5">
        <v>11.36</v>
      </c>
      <c r="F5">
        <v>14.91</v>
      </c>
      <c r="H5">
        <f>AVERAGE((B5-$B$2)^2,(C5-$C$2)^2,(D5-$D$2)^2,(E5-$E$2)^2,(F5-$F$2)^2)</f>
        <v>41.942359999999994</v>
      </c>
      <c r="I5">
        <f t="shared" ref="I5:I20" si="0">SQRT(H5)</f>
        <v>6.4762921490618375</v>
      </c>
      <c r="K5">
        <f>AVERAGE((B5-$B$2)^2,(C5-$C$2)^2,(D5-$D$2)^2,(E5-$E$2)^2)</f>
        <v>15.764925000000002</v>
      </c>
      <c r="L5">
        <f t="shared" ref="L5:L20" si="1">SQRT(K5)</f>
        <v>3.9705068945916717</v>
      </c>
    </row>
    <row r="6" spans="1:12" x14ac:dyDescent="0.25">
      <c r="A6" t="s">
        <v>82</v>
      </c>
      <c r="B6">
        <v>21.77</v>
      </c>
      <c r="C6">
        <v>39.19</v>
      </c>
      <c r="D6">
        <v>11.19</v>
      </c>
      <c r="E6">
        <v>6.47</v>
      </c>
      <c r="F6">
        <v>21.38</v>
      </c>
      <c r="H6">
        <f>AVERAGE((B6-$B$2)^2,(C6-$C$2)^2,(D6-$D$2)^2,(E6-$E$2)^2,(F6-$F$2)^2)</f>
        <v>127.82048</v>
      </c>
      <c r="I6">
        <f t="shared" si="0"/>
        <v>11.305771977180505</v>
      </c>
      <c r="K6">
        <f>AVERAGE((B6-$B$2)^2,(C6-$C$2)^2,(D6-$D$2)^2,(E6-$E$2)^2)</f>
        <v>73.471499999999992</v>
      </c>
      <c r="L6">
        <f t="shared" si="1"/>
        <v>8.5715517848286957</v>
      </c>
    </row>
    <row r="7" spans="1:12" x14ac:dyDescent="0.25">
      <c r="A7" t="s">
        <v>83</v>
      </c>
      <c r="B7">
        <v>23.07</v>
      </c>
      <c r="C7">
        <v>37.49</v>
      </c>
      <c r="D7">
        <v>11.28</v>
      </c>
      <c r="E7">
        <v>7.69</v>
      </c>
      <c r="F7">
        <v>20.47</v>
      </c>
      <c r="H7">
        <f>AVERAGE((B7-$B$2)^2,(C7-$C$2)^2,(D7-$D$2)^2,(E7-$E$2)^2,(F7-$F$2)^2)</f>
        <v>108.11488</v>
      </c>
      <c r="I7">
        <f t="shared" si="0"/>
        <v>10.397830542954621</v>
      </c>
      <c r="K7">
        <f>AVERAGE((B7-$B$2)^2,(C7-$C$2)^2,(D7-$D$2)^2,(E7-$E$2)^2)</f>
        <v>57.086374999999997</v>
      </c>
      <c r="L7">
        <f t="shared" si="1"/>
        <v>7.5555525939536681</v>
      </c>
    </row>
    <row r="8" spans="1:12" x14ac:dyDescent="0.25">
      <c r="A8" t="s">
        <v>84</v>
      </c>
      <c r="B8">
        <v>29.83</v>
      </c>
      <c r="C8">
        <v>27.99</v>
      </c>
      <c r="D8">
        <v>12.44</v>
      </c>
      <c r="E8">
        <v>15</v>
      </c>
      <c r="F8">
        <v>14.75</v>
      </c>
      <c r="H8">
        <f>AVERAGE((B8-$B$2)^2,(C8-$C$2)^2,(D8-$D$2)^2,(E8-$E$2)^2,(F8-$F$2)^2)</f>
        <v>46.701419999999999</v>
      </c>
      <c r="I8">
        <f t="shared" si="0"/>
        <v>6.8338437207767635</v>
      </c>
      <c r="K8">
        <f>AVERAGE((B8-$B$2)^2,(C8-$C$2)^2,(D8-$D$2)^2,(E8-$E$2)^2)</f>
        <v>22.676150000000007</v>
      </c>
      <c r="L8">
        <f t="shared" si="1"/>
        <v>4.7619481307548917</v>
      </c>
    </row>
    <row r="9" spans="1:12" x14ac:dyDescent="0.25">
      <c r="A9" t="s">
        <v>85</v>
      </c>
      <c r="B9">
        <v>32.299999999999997</v>
      </c>
      <c r="C9">
        <v>27.4</v>
      </c>
      <c r="D9">
        <v>17.600000000000001</v>
      </c>
      <c r="E9">
        <v>14.6</v>
      </c>
      <c r="F9">
        <v>8.1</v>
      </c>
      <c r="H9">
        <f>AVERAGE((B9-$B$2)^2,(C9-$C$2)^2,(D9-$D$2)^2,(E9-$E$2)^2,(F9-$F$2)^2)</f>
        <v>18.832000000000004</v>
      </c>
      <c r="I9">
        <f t="shared" si="0"/>
        <v>4.3395852336369662</v>
      </c>
      <c r="K9">
        <f>AVERAGE((B9-$B$2)^2,(C9-$C$2)^2,(D9-$D$2)^2,(E9-$E$2)^2)</f>
        <v>16.517500000000005</v>
      </c>
      <c r="L9">
        <f t="shared" si="1"/>
        <v>4.0641727325496397</v>
      </c>
    </row>
    <row r="10" spans="1:12" x14ac:dyDescent="0.25">
      <c r="A10" t="s">
        <v>64</v>
      </c>
      <c r="B10">
        <v>34.58</v>
      </c>
      <c r="C10">
        <v>27.8</v>
      </c>
      <c r="D10">
        <v>16.71</v>
      </c>
      <c r="E10">
        <v>12.74</v>
      </c>
      <c r="F10">
        <v>8.17</v>
      </c>
      <c r="H10">
        <f>AVERAGE((B10-$B$2)^2,(C10-$C$2)^2,(D10-$D$2)^2,(E10-$E$2)^2,(F10-$F$2)^2)</f>
        <v>13.435000000000002</v>
      </c>
      <c r="I10">
        <f t="shared" si="0"/>
        <v>3.665378561622251</v>
      </c>
      <c r="K10">
        <f>AVERAGE((B10-$B$2)^2,(C10-$C$2)^2,(D10-$D$2)^2,(E10-$E$2)^2)</f>
        <v>9.5845250000000011</v>
      </c>
      <c r="L10">
        <f t="shared" si="1"/>
        <v>3.0958884023814557</v>
      </c>
    </row>
    <row r="11" spans="1:12" x14ac:dyDescent="0.25">
      <c r="A11" t="s">
        <v>86</v>
      </c>
      <c r="B11">
        <v>34.19</v>
      </c>
      <c r="C11">
        <v>28.08</v>
      </c>
      <c r="D11">
        <v>17.11</v>
      </c>
      <c r="E11">
        <v>12.89</v>
      </c>
      <c r="F11">
        <v>7.74</v>
      </c>
      <c r="H11">
        <f>AVERAGE((B11-$B$2)^2,(C11-$C$2)^2,(D11-$D$2)^2,(E11-$E$2)^2,(F11-$F$2)^2)</f>
        <v>12.546460000000003</v>
      </c>
      <c r="I11">
        <f t="shared" si="0"/>
        <v>3.5420982482139034</v>
      </c>
      <c r="K11">
        <f>AVERAGE((B11-$B$2)^2,(C11-$C$2)^2,(D11-$D$2)^2,(E11-$E$2)^2)</f>
        <v>9.582175000000003</v>
      </c>
      <c r="L11">
        <f t="shared" si="1"/>
        <v>3.0955088434698426</v>
      </c>
    </row>
    <row r="12" spans="1:12" x14ac:dyDescent="0.25">
      <c r="A12" t="s">
        <v>87</v>
      </c>
      <c r="B12" s="248">
        <v>23.261213999999999</v>
      </c>
      <c r="C12" s="248">
        <v>39.609876999999997</v>
      </c>
      <c r="D12" s="248">
        <v>12.155841000000001</v>
      </c>
      <c r="E12" s="248">
        <v>4.5517380000000003</v>
      </c>
      <c r="F12" s="248">
        <v>20.421329</v>
      </c>
      <c r="G12" s="248"/>
      <c r="H12">
        <f>AVERAGE((B12-$B$2)^2,(C12-$C$2)^2,(D12-$D$2)^2,(E12-$E$2)^2,(F12-$F$2)^2)</f>
        <v>117.16637457461817</v>
      </c>
      <c r="I12">
        <f t="shared" si="0"/>
        <v>10.824341761724737</v>
      </c>
      <c r="K12">
        <f>AVERAGE((B12-$B$2)^2,(C12-$C$2)^2,(D12-$D$2)^2,(E12-$E$2)^2)</f>
        <v>68.830159286712487</v>
      </c>
      <c r="L12">
        <f t="shared" si="1"/>
        <v>8.2963943545803378</v>
      </c>
    </row>
    <row r="13" spans="1:12" x14ac:dyDescent="0.25">
      <c r="A13" t="s">
        <v>88</v>
      </c>
      <c r="B13" s="248">
        <v>21.87</v>
      </c>
      <c r="C13" s="248">
        <v>41.22</v>
      </c>
      <c r="D13" s="248">
        <v>12.2</v>
      </c>
      <c r="E13" s="248">
        <v>4.49</v>
      </c>
      <c r="F13" s="248">
        <v>20.22</v>
      </c>
      <c r="G13" s="248"/>
      <c r="H13">
        <f>AVERAGE((B13-$B$2)^2,(C13-$C$2)^2,(D13-$D$2)^2,(E13-$E$2)^2,(F13-$F$2)^2)</f>
        <v>128.03715999999997</v>
      </c>
      <c r="I13">
        <f t="shared" si="0"/>
        <v>11.315350635309539</v>
      </c>
      <c r="K13">
        <f>AVERAGE((B13-$B$2)^2,(C13-$C$2)^2,(D13-$D$2)^2,(E13-$E$2)^2)</f>
        <v>84.182349999999985</v>
      </c>
      <c r="L13">
        <f t="shared" si="1"/>
        <v>9.1750940049680132</v>
      </c>
    </row>
    <row r="14" spans="1:12" x14ac:dyDescent="0.25">
      <c r="A14" t="s">
        <v>65</v>
      </c>
      <c r="B14" s="248">
        <v>36.03</v>
      </c>
      <c r="C14" s="248">
        <v>24</v>
      </c>
      <c r="D14" s="248">
        <v>14.85</v>
      </c>
      <c r="E14" s="248">
        <v>9.64</v>
      </c>
      <c r="F14" s="248">
        <v>15.48</v>
      </c>
      <c r="G14" s="248"/>
      <c r="H14">
        <f>AVERAGE((B14-$B$2)^2,(C14-$C$2)^2,(D14-$D$2)^2,(E14-$E$2)^2,(F14-$F$2)^2)</f>
        <v>51.388279999999995</v>
      </c>
      <c r="I14">
        <f t="shared" si="0"/>
        <v>7.1685619199390329</v>
      </c>
      <c r="K14">
        <f>AVERAGE((B14-$B$2)^2,(C14-$C$2)^2,(D14-$D$2)^2,(E14-$E$2)^2)</f>
        <v>24.039749999999998</v>
      </c>
      <c r="L14">
        <f t="shared" si="1"/>
        <v>4.9030347745044596</v>
      </c>
    </row>
    <row r="15" spans="1:12" x14ac:dyDescent="0.25">
      <c r="A15" t="s">
        <v>66</v>
      </c>
      <c r="B15" s="248">
        <v>23.8</v>
      </c>
      <c r="C15" s="248">
        <v>36.17</v>
      </c>
      <c r="D15" s="248">
        <v>11.9</v>
      </c>
      <c r="E15" s="248">
        <v>15.4</v>
      </c>
      <c r="F15" s="248">
        <v>12.73</v>
      </c>
      <c r="G15" s="248"/>
      <c r="H15">
        <f>AVERAGE((B15-$B$2)^2,(C15-$C$2)^2,(D15-$D$2)^2,(E15-$E$2)^2,(F15-$F$2)^2)</f>
        <v>57.522759999999991</v>
      </c>
      <c r="I15">
        <f t="shared" si="0"/>
        <v>7.5843760455293872</v>
      </c>
      <c r="K15">
        <f>AVERAGE((B15-$B$2)^2,(C15-$C$2)^2,(D15-$D$2)^2,(E15-$E$2)^2)</f>
        <v>47.252224999999989</v>
      </c>
      <c r="L15">
        <f t="shared" si="1"/>
        <v>6.874025385463745</v>
      </c>
    </row>
    <row r="16" spans="1:12" x14ac:dyDescent="0.25">
      <c r="A16" s="245" t="s">
        <v>89</v>
      </c>
      <c r="B16" s="245">
        <v>34.1</v>
      </c>
      <c r="C16" s="245">
        <v>28.27</v>
      </c>
      <c r="D16" s="245">
        <v>16.940000000000001</v>
      </c>
      <c r="E16" s="245">
        <v>14.16</v>
      </c>
      <c r="F16" s="245">
        <v>6.53</v>
      </c>
      <c r="G16" s="245"/>
      <c r="H16" s="245">
        <f>AVERAGE((B16-$B$2)^2,(C16-$C$2)^2,(D16-$D$2)^2,(E16-$E$2)^2,(F16-$F$2)^2)</f>
        <v>10.782199999999998</v>
      </c>
      <c r="I16" s="245">
        <f t="shared" si="0"/>
        <v>3.2836260444819225</v>
      </c>
      <c r="J16" s="245"/>
      <c r="K16" s="245">
        <f>AVERAGE((B16-$B$2)^2,(C16-$C$2)^2,(D16-$D$2)^2,(E16-$E$2)^2)</f>
        <v>9.9995249999999967</v>
      </c>
      <c r="L16" s="245">
        <f t="shared" si="1"/>
        <v>3.1622025551820676</v>
      </c>
    </row>
    <row r="17" spans="1:12" x14ac:dyDescent="0.25">
      <c r="A17" s="245" t="s">
        <v>90</v>
      </c>
      <c r="B17" s="245">
        <v>33.75</v>
      </c>
      <c r="C17" s="245">
        <v>29.58</v>
      </c>
      <c r="D17" s="245">
        <v>16.2</v>
      </c>
      <c r="E17" s="245">
        <v>14.2</v>
      </c>
      <c r="F17" s="245">
        <v>6.27</v>
      </c>
      <c r="G17" s="245"/>
      <c r="H17" s="245">
        <f>AVERAGE((B17-$B$2)^2,(C17-$C$2)^2,(D17-$D$2)^2,(E17-$E$2)^2,(F17-$F$2)^2)</f>
        <v>8.0159599999999998</v>
      </c>
      <c r="I17" s="245">
        <f t="shared" si="0"/>
        <v>2.8312470750536769</v>
      </c>
      <c r="J17" s="245"/>
      <c r="K17" s="245">
        <f>AVERAGE((B17-$B$2)^2,(C17-$C$2)^2,(D17-$D$2)^2,(E17-$E$2)^2)</f>
        <v>7.0097250000000004</v>
      </c>
      <c r="L17" s="245">
        <f t="shared" si="1"/>
        <v>2.6475885254321527</v>
      </c>
    </row>
    <row r="18" spans="1:12" x14ac:dyDescent="0.25">
      <c r="A18" s="245" t="s">
        <v>91</v>
      </c>
      <c r="B18" s="245">
        <v>33.31</v>
      </c>
      <c r="C18" s="245">
        <v>26.19</v>
      </c>
      <c r="D18" s="245">
        <v>18.32</v>
      </c>
      <c r="E18" s="245">
        <v>14.59</v>
      </c>
      <c r="F18" s="245">
        <v>7.59</v>
      </c>
      <c r="G18" s="245"/>
      <c r="H18" s="245">
        <f>AVERAGE((B18-$B$2)^2,(C18-$C$2)^2,(D18-$D$2)^2,(E18-$E$2)^2,(F18-$F$2)^2)</f>
        <v>20.351359999999993</v>
      </c>
      <c r="I18" s="245">
        <f t="shared" si="0"/>
        <v>4.5112481643110689</v>
      </c>
      <c r="J18" s="245"/>
      <c r="K18" s="245">
        <f>AVERAGE((B18-$B$2)^2,(C18-$C$2)^2,(D18-$D$2)^2,(E18-$E$2)^2)</f>
        <v>19.703174999999991</v>
      </c>
      <c r="L18" s="245">
        <f t="shared" si="1"/>
        <v>4.4388258582647717</v>
      </c>
    </row>
    <row r="19" spans="1:12" x14ac:dyDescent="0.25">
      <c r="A19" s="245" t="s">
        <v>92</v>
      </c>
      <c r="B19" s="245">
        <v>33.19</v>
      </c>
      <c r="C19" s="245">
        <v>27.93</v>
      </c>
      <c r="D19" s="245">
        <v>16.91</v>
      </c>
      <c r="E19" s="245">
        <v>14.52</v>
      </c>
      <c r="F19" s="245">
        <v>7.45</v>
      </c>
      <c r="G19" s="245"/>
      <c r="H19" s="245">
        <f>AVERAGE((B19-$B$2)^2,(C19-$C$2)^2,(D19-$D$2)^2,(E19-$E$2)^2,(F19-$F$2)^2)</f>
        <v>14.378800000000002</v>
      </c>
      <c r="I19" s="245">
        <f t="shared" si="0"/>
        <v>3.7919388180718321</v>
      </c>
      <c r="J19" s="245"/>
      <c r="K19" s="245">
        <f>AVERAGE((B19-$B$2)^2,(C19-$C$2)^2,(D19-$D$2)^2,(E19-$E$2)^2)</f>
        <v>12.567875000000001</v>
      </c>
      <c r="L19" s="245">
        <f t="shared" si="1"/>
        <v>3.5451198851378778</v>
      </c>
    </row>
    <row r="20" spans="1:12" x14ac:dyDescent="0.25">
      <c r="A20" s="245" t="s">
        <v>93</v>
      </c>
      <c r="B20" s="245">
        <v>37.380000000000003</v>
      </c>
      <c r="C20" s="245">
        <v>27.54</v>
      </c>
      <c r="D20" s="245">
        <v>14.7</v>
      </c>
      <c r="E20" s="245">
        <v>12.92</v>
      </c>
      <c r="F20" s="245">
        <v>7.46</v>
      </c>
      <c r="G20" s="245"/>
      <c r="H20" s="245">
        <f>AVERAGE((B20-$B$2)^2,(C20-$C$2)^2,(D20-$D$2)^2,(E20-$E$2)^2,(F20-$F$2)^2)</f>
        <v>11.880800000000004</v>
      </c>
      <c r="I20" s="245">
        <f t="shared" si="0"/>
        <v>3.4468536377397871</v>
      </c>
      <c r="J20" s="245"/>
      <c r="K20" s="245">
        <f>AVERAGE((B20-$B$2)^2,(C20-$C$2)^2,(D20-$D$2)^2,(E20-$E$2)^2)</f>
        <v>9.4221000000000057</v>
      </c>
      <c r="L20" s="245">
        <f t="shared" si="1"/>
        <v>3.0695439400666684</v>
      </c>
    </row>
    <row r="21" spans="1:12" x14ac:dyDescent="0.25">
      <c r="A21" s="21" t="s">
        <v>76</v>
      </c>
      <c r="B21" s="21"/>
      <c r="C21" s="21"/>
      <c r="D21" s="21"/>
      <c r="E21" s="21"/>
      <c r="F21" s="21"/>
      <c r="G21" s="21"/>
      <c r="H21" s="21" t="s">
        <v>72</v>
      </c>
      <c r="I21" s="21" t="s">
        <v>73</v>
      </c>
      <c r="J21" s="21"/>
      <c r="K21" s="21" t="s">
        <v>70</v>
      </c>
      <c r="L21" s="21" t="s">
        <v>71</v>
      </c>
    </row>
    <row r="22" spans="1:12" x14ac:dyDescent="0.25">
      <c r="A22" t="s">
        <v>80</v>
      </c>
      <c r="B22">
        <v>32.5</v>
      </c>
      <c r="C22">
        <v>27.44</v>
      </c>
      <c r="D22">
        <v>17.559999999999999</v>
      </c>
      <c r="E22">
        <v>14.34</v>
      </c>
      <c r="F22">
        <v>8.16</v>
      </c>
      <c r="H22">
        <f>AVERAGE((B22-$B$2)^2,(C22-$C$2)^2,(D22-$D$2)^2,(E22-$E$2)^2,(F22-$F$2)^2)</f>
        <v>18.249279999999992</v>
      </c>
      <c r="I22">
        <f t="shared" ref="I22:I38" si="2">SQRT(H22)</f>
        <v>4.2719176022016141</v>
      </c>
      <c r="K22">
        <f>AVERAGE((B22-$B$2)^2,(C22-$C$2)^2,(D22-$D$2)^2,(E22-$E$2)^2)</f>
        <v>15.62919999999999</v>
      </c>
      <c r="L22">
        <f>SQRT(K22)</f>
        <v>3.9533783021613287</v>
      </c>
    </row>
    <row r="23" spans="1:12" x14ac:dyDescent="0.25">
      <c r="A23" t="s">
        <v>81</v>
      </c>
      <c r="B23">
        <v>33.380000000000003</v>
      </c>
      <c r="C23">
        <v>26.32</v>
      </c>
      <c r="D23">
        <v>14</v>
      </c>
      <c r="E23">
        <v>11.34</v>
      </c>
      <c r="F23">
        <v>14.96</v>
      </c>
      <c r="H23">
        <f>AVERAGE((B23-$B$2)^2,(C23-$C$2)^2,(D23-$D$2)^2,(E23-$E$2)^2,(F23-$F$2)^2)</f>
        <v>42.132799999999996</v>
      </c>
      <c r="I23">
        <f t="shared" si="2"/>
        <v>6.490978354608802</v>
      </c>
      <c r="K23">
        <f>AVERAGE((B23-$B$2)^2,(C23-$C$2)^2,(D23-$D$2)^2,(E23-$E$2)^2)</f>
        <v>15.699599999999995</v>
      </c>
      <c r="L23">
        <f t="shared" ref="L23:L38" si="3">SQRT(K23)</f>
        <v>3.962272075463773</v>
      </c>
    </row>
    <row r="24" spans="1:12" x14ac:dyDescent="0.25">
      <c r="A24" t="s">
        <v>82</v>
      </c>
      <c r="B24">
        <v>21.81</v>
      </c>
      <c r="C24">
        <v>38.9</v>
      </c>
      <c r="D24">
        <v>11.27</v>
      </c>
      <c r="E24">
        <v>6.72</v>
      </c>
      <c r="F24">
        <v>21.3</v>
      </c>
      <c r="H24">
        <f>AVERAGE((B24-$B$2)^2,(C24-$C$2)^2,(D24-$D$2)^2,(E24-$E$2)^2,(F24-$F$2)^2)</f>
        <v>125.67948000000001</v>
      </c>
      <c r="I24">
        <f t="shared" si="2"/>
        <v>11.21068597365924</v>
      </c>
      <c r="K24">
        <f>AVERAGE((B24-$B$2)^2,(C24-$C$2)^2,(D24-$D$2)^2,(E24-$E$2)^2)</f>
        <v>71.536850000000001</v>
      </c>
      <c r="L24">
        <f t="shared" si="3"/>
        <v>8.4579459681414377</v>
      </c>
    </row>
    <row r="25" spans="1:12" x14ac:dyDescent="0.25">
      <c r="A25" t="s">
        <v>83</v>
      </c>
      <c r="B25">
        <v>23.16</v>
      </c>
      <c r="C25">
        <v>37.14</v>
      </c>
      <c r="D25">
        <v>11.2</v>
      </c>
      <c r="E25">
        <v>7.96</v>
      </c>
      <c r="F25">
        <v>20.54</v>
      </c>
      <c r="H25">
        <f>AVERAGE((B25-$B$2)^2,(C25-$C$2)^2,(D25-$D$2)^2,(E25-$E$2)^2,(F25-$F$2)^2)</f>
        <v>107.27727999999998</v>
      </c>
      <c r="I25">
        <f t="shared" si="2"/>
        <v>10.357474595672439</v>
      </c>
      <c r="K25">
        <f>AVERAGE((B25-$B$2)^2,(C25-$C$2)^2,(D25-$D$2)^2,(E25-$E$2)^2)</f>
        <v>55.419699999999992</v>
      </c>
      <c r="L25">
        <f t="shared" si="3"/>
        <v>7.4444408789377858</v>
      </c>
    </row>
    <row r="26" spans="1:12" x14ac:dyDescent="0.25">
      <c r="A26" t="s">
        <v>94</v>
      </c>
      <c r="B26">
        <v>29.29</v>
      </c>
      <c r="C26">
        <v>28.32</v>
      </c>
      <c r="D26">
        <v>12.49</v>
      </c>
      <c r="E26">
        <v>15.18</v>
      </c>
      <c r="F26">
        <v>14.72</v>
      </c>
      <c r="H26">
        <f>AVERAGE((B26-$B$2)^2,(C26-$C$2)^2,(D26-$D$2)^2,(E26-$E$2)^2,(F26-$F$2)^2)</f>
        <v>47.495880000000014</v>
      </c>
      <c r="I26">
        <f t="shared" si="2"/>
        <v>6.8917254733484574</v>
      </c>
      <c r="K26">
        <f>AVERAGE((B26-$B$2)^2,(C26-$C$2)^2,(D26-$D$2)^2,(E26-$E$2)^2)</f>
        <v>23.848249999999997</v>
      </c>
      <c r="L26">
        <f t="shared" si="3"/>
        <v>4.8834670061340635</v>
      </c>
    </row>
    <row r="27" spans="1:12" x14ac:dyDescent="0.25">
      <c r="A27" t="s">
        <v>85</v>
      </c>
      <c r="B27">
        <v>32.200000000000003</v>
      </c>
      <c r="C27">
        <v>27.4</v>
      </c>
      <c r="D27">
        <v>17.600000000000001</v>
      </c>
      <c r="E27">
        <v>14.8</v>
      </c>
      <c r="F27">
        <v>8.1</v>
      </c>
      <c r="H27">
        <f>AVERAGE((B27-$B$2)^2,(C27-$C$2)^2,(D27-$D$2)^2,(E27-$E$2)^2,(F27-$F$2)^2)</f>
        <v>19.213999999999999</v>
      </c>
      <c r="I27">
        <f t="shared" si="2"/>
        <v>4.3833776930581738</v>
      </c>
      <c r="K27">
        <f>AVERAGE((B27-$B$2)^2,(C27-$C$2)^2,(D27-$D$2)^2,(E27-$E$2)^2)</f>
        <v>16.994999999999997</v>
      </c>
      <c r="L27">
        <f t="shared" si="3"/>
        <v>4.122499241964757</v>
      </c>
    </row>
    <row r="28" spans="1:12" x14ac:dyDescent="0.25">
      <c r="A28" t="s">
        <v>64</v>
      </c>
      <c r="B28">
        <v>34.619999999999997</v>
      </c>
      <c r="C28">
        <v>27.85</v>
      </c>
      <c r="D28">
        <v>16.7</v>
      </c>
      <c r="E28">
        <v>12.69</v>
      </c>
      <c r="F28">
        <v>8.14</v>
      </c>
      <c r="H28">
        <f>AVERAGE((B28-$B$2)^2,(C28-$C$2)^2,(D28-$D$2)^2,(E28-$E$2)^2,(F28-$F$2)^2)</f>
        <v>13.208519999999998</v>
      </c>
      <c r="I28">
        <f t="shared" si="2"/>
        <v>3.6343527621847604</v>
      </c>
      <c r="K28">
        <f>AVERAGE((B28-$B$2)^2,(C28-$C$2)^2,(D28-$D$2)^2,(E28-$E$2)^2)</f>
        <v>9.3817499999999967</v>
      </c>
      <c r="L28">
        <f t="shared" si="3"/>
        <v>3.0629642505259502</v>
      </c>
    </row>
    <row r="29" spans="1:12" x14ac:dyDescent="0.25">
      <c r="A29" t="s">
        <v>86</v>
      </c>
      <c r="B29">
        <v>34.31</v>
      </c>
      <c r="C29">
        <v>28.09</v>
      </c>
      <c r="D29">
        <v>17.11</v>
      </c>
      <c r="E29">
        <v>12.82</v>
      </c>
      <c r="F29">
        <v>7.66</v>
      </c>
      <c r="H29">
        <f>AVERAGE((B29-$B$2)^2,(C29-$C$2)^2,(D29-$D$2)^2,(E29-$E$2)^2,(F29-$F$2)^2)</f>
        <v>12.240859999999998</v>
      </c>
      <c r="I29">
        <f t="shared" si="2"/>
        <v>3.4986940420676969</v>
      </c>
      <c r="K29">
        <f>AVERAGE((B29-$B$2)^2,(C29-$C$2)^2,(D29-$D$2)^2,(E29-$E$2)^2)</f>
        <v>9.3961749999999959</v>
      </c>
      <c r="L29">
        <f t="shared" si="3"/>
        <v>3.0653180911611759</v>
      </c>
    </row>
    <row r="30" spans="1:12" x14ac:dyDescent="0.25">
      <c r="A30" t="s">
        <v>87</v>
      </c>
      <c r="B30">
        <v>23.39</v>
      </c>
      <c r="C30">
        <v>39.25</v>
      </c>
      <c r="D30">
        <v>12.3</v>
      </c>
      <c r="E30">
        <v>4.68</v>
      </c>
      <c r="F30">
        <v>20.37</v>
      </c>
      <c r="H30">
        <f>AVERAGE((B30-$B$2)^2,(C30-$C$2)^2,(D30-$D$2)^2,(E30-$E$2)^2,(F30-$F$2)^2)</f>
        <v>114.72197999999999</v>
      </c>
      <c r="I30">
        <f t="shared" si="2"/>
        <v>10.710834701366649</v>
      </c>
      <c r="K30">
        <f>AVERAGE((B30-$B$2)^2,(C30-$C$2)^2,(D30-$D$2)^2,(E30-$E$2)^2)</f>
        <v>66.226249999999993</v>
      </c>
      <c r="L30">
        <f t="shared" si="3"/>
        <v>8.1379512163688954</v>
      </c>
    </row>
    <row r="31" spans="1:12" x14ac:dyDescent="0.25">
      <c r="A31" t="s">
        <v>88</v>
      </c>
      <c r="B31">
        <v>22.1</v>
      </c>
      <c r="C31">
        <v>41.28</v>
      </c>
      <c r="D31">
        <v>12.2</v>
      </c>
      <c r="E31">
        <v>4.3899999999999997</v>
      </c>
      <c r="F31">
        <v>20.02</v>
      </c>
      <c r="H31">
        <f>AVERAGE((B31-$B$2)^2,(C31-$C$2)^2,(D31-$D$2)^2,(E31-$E$2)^2,(F31-$F$2)^2)</f>
        <v>125.81377999999999</v>
      </c>
      <c r="I31">
        <f t="shared" si="2"/>
        <v>11.216674195143586</v>
      </c>
      <c r="K31">
        <f>AVERAGE((B31-$B$2)^2,(C31-$C$2)^2,(D31-$D$2)^2,(E31-$E$2)^2)</f>
        <v>83.135124999999988</v>
      </c>
      <c r="L31">
        <f t="shared" si="3"/>
        <v>9.1178465111011811</v>
      </c>
    </row>
    <row r="32" spans="1:12" x14ac:dyDescent="0.25">
      <c r="A32" t="s">
        <v>65</v>
      </c>
      <c r="B32">
        <v>35.549999999999997</v>
      </c>
      <c r="C32">
        <v>23.98</v>
      </c>
      <c r="D32">
        <v>14.67</v>
      </c>
      <c r="E32">
        <v>10.28</v>
      </c>
      <c r="F32">
        <v>15.52</v>
      </c>
      <c r="H32">
        <f>AVERAGE((B32-$B$2)^2,(C32-$C$2)^2,(D32-$D$2)^2,(E32-$E$2)^2,(F32-$F$2)^2)</f>
        <v>51.30131999999999</v>
      </c>
      <c r="I32">
        <f t="shared" si="2"/>
        <v>7.1624939790550606</v>
      </c>
      <c r="K32">
        <f>AVERAGE((B32-$B$2)^2,(C32-$C$2)^2,(D32-$D$2)^2,(E32-$E$2)^2)</f>
        <v>23.677049999999998</v>
      </c>
      <c r="L32">
        <f t="shared" si="3"/>
        <v>4.8659069041649365</v>
      </c>
    </row>
    <row r="33" spans="1:12" x14ac:dyDescent="0.25">
      <c r="A33" t="s">
        <v>66</v>
      </c>
      <c r="B33">
        <v>23.16</v>
      </c>
      <c r="C33">
        <v>35.53</v>
      </c>
      <c r="D33">
        <v>11.58</v>
      </c>
      <c r="E33">
        <v>17.09</v>
      </c>
      <c r="F33">
        <v>12.65</v>
      </c>
      <c r="H33">
        <f>AVERAGE((B33-$B$2)^2,(C33-$C$2)^2,(D33-$D$2)^2,(E33-$E$2)^2,(F33-$F$2)^2)</f>
        <v>63.237499999999997</v>
      </c>
      <c r="I33">
        <f t="shared" si="2"/>
        <v>7.9522009531952849</v>
      </c>
      <c r="K33">
        <f>AVERAGE((B33-$B$2)^2,(C33-$C$2)^2,(D33-$D$2)^2,(E33-$E$2)^2)</f>
        <v>54.791249999999991</v>
      </c>
      <c r="L33">
        <f t="shared" si="3"/>
        <v>7.4021111853308437</v>
      </c>
    </row>
    <row r="34" spans="1:12" x14ac:dyDescent="0.25">
      <c r="A34" s="245" t="s">
        <v>89</v>
      </c>
      <c r="B34" s="245">
        <v>34.450000000000003</v>
      </c>
      <c r="C34" s="245">
        <v>28.26</v>
      </c>
      <c r="D34" s="245">
        <v>17.059999999999999</v>
      </c>
      <c r="E34" s="245">
        <v>13.75</v>
      </c>
      <c r="F34" s="245">
        <v>6.47</v>
      </c>
      <c r="G34" s="245"/>
      <c r="H34" s="245">
        <f>AVERAGE((B34-$B$2)^2,(C34-$C$2)^2,(D34-$D$2)^2,(E34-$E$2)^2,(F34-$F$2)^2)</f>
        <v>10.177819999999993</v>
      </c>
      <c r="I34" s="245">
        <f t="shared" si="2"/>
        <v>3.1902695810855848</v>
      </c>
      <c r="J34" s="245"/>
      <c r="K34" s="245">
        <f>AVERAGE((B34-$B$2)^2,(C34-$C$2)^2,(D34-$D$2)^2,(E34-$E$2)^2)</f>
        <v>9.3550499999999914</v>
      </c>
      <c r="L34" s="245">
        <f t="shared" si="3"/>
        <v>3.0586026221135678</v>
      </c>
    </row>
    <row r="35" spans="1:12" x14ac:dyDescent="0.25">
      <c r="A35" s="245" t="s">
        <v>90</v>
      </c>
      <c r="B35" s="245">
        <v>34.22</v>
      </c>
      <c r="C35" s="245">
        <v>29.48</v>
      </c>
      <c r="D35" s="245">
        <v>16.260000000000002</v>
      </c>
      <c r="E35" s="245">
        <v>13.88</v>
      </c>
      <c r="F35" s="245">
        <v>6.17</v>
      </c>
      <c r="G35" s="245"/>
      <c r="H35" s="245">
        <f>AVERAGE((B35-$B$2)^2,(C35-$C$2)^2,(D35-$D$2)^2,(E35-$E$2)^2,(F35-$F$2)^2)</f>
        <v>7.3451399999999989</v>
      </c>
      <c r="I35" s="245">
        <f t="shared" si="2"/>
        <v>2.7101918751261871</v>
      </c>
      <c r="J35" s="245"/>
      <c r="K35" s="245">
        <f>AVERAGE((B35-$B$2)^2,(C35-$C$2)^2,(D35-$D$2)^2,(E35-$E$2)^2)</f>
        <v>6.3421999999999992</v>
      </c>
      <c r="L35" s="245">
        <f t="shared" si="3"/>
        <v>2.518372490319889</v>
      </c>
    </row>
    <row r="36" spans="1:12" x14ac:dyDescent="0.25">
      <c r="A36" s="245" t="s">
        <v>91</v>
      </c>
      <c r="B36" s="245">
        <v>33.46</v>
      </c>
      <c r="C36" s="245">
        <v>26.12</v>
      </c>
      <c r="D36" s="245">
        <v>18.41</v>
      </c>
      <c r="E36" s="245">
        <v>14.54</v>
      </c>
      <c r="F36" s="245">
        <v>7.47</v>
      </c>
      <c r="G36" s="245"/>
      <c r="H36" s="245">
        <f>AVERAGE((B36-$B$2)^2,(C36-$C$2)^2,(D36-$D$2)^2,(E36-$E$2)^2,(F36-$F$2)^2)</f>
        <v>20.20811999999999</v>
      </c>
      <c r="I36" s="245">
        <f t="shared" si="2"/>
        <v>4.4953442582298404</v>
      </c>
      <c r="J36" s="245"/>
      <c r="K36" s="245">
        <f>AVERAGE((B36-$B$2)^2,(C36-$C$2)^2,(D36-$D$2)^2,(E36-$E$2)^2)</f>
        <v>19.80792499999999</v>
      </c>
      <c r="L36" s="245">
        <f t="shared" si="3"/>
        <v>4.4506095088201114</v>
      </c>
    </row>
    <row r="37" spans="1:12" x14ac:dyDescent="0.25">
      <c r="A37" s="245" t="s">
        <v>92</v>
      </c>
      <c r="B37" s="245">
        <v>33.28</v>
      </c>
      <c r="C37" s="245">
        <v>27.81</v>
      </c>
      <c r="D37" s="245">
        <v>16.98</v>
      </c>
      <c r="E37" s="245">
        <v>14.52</v>
      </c>
      <c r="F37" s="245">
        <v>7.41</v>
      </c>
      <c r="G37" s="245"/>
      <c r="H37" s="245">
        <f>AVERAGE((B37-$B$2)^2,(C37-$C$2)^2,(D37-$D$2)^2,(E37-$E$2)^2,(F37-$F$2)^2)</f>
        <v>14.507080000000002</v>
      </c>
      <c r="I37" s="245">
        <f t="shared" si="2"/>
        <v>3.8088160890229399</v>
      </c>
      <c r="J37" s="245"/>
      <c r="K37" s="245">
        <f>AVERAGE((B37-$B$2)^2,(C37-$C$2)^2,(D37-$D$2)^2,(E37-$E$2)^2)</f>
        <v>12.820825000000001</v>
      </c>
      <c r="L37" s="245">
        <f t="shared" si="3"/>
        <v>3.5806179634247495</v>
      </c>
    </row>
    <row r="38" spans="1:12" x14ac:dyDescent="0.25">
      <c r="A38" s="245" t="s">
        <v>93</v>
      </c>
      <c r="B38" s="245">
        <v>37.520000000000003</v>
      </c>
      <c r="C38" s="245">
        <v>27.45</v>
      </c>
      <c r="D38" s="245">
        <v>14.72</v>
      </c>
      <c r="E38" s="245">
        <v>12.85</v>
      </c>
      <c r="F38" s="245">
        <v>7.46</v>
      </c>
      <c r="G38" s="245"/>
      <c r="H38" s="245">
        <f>AVERAGE((B38-$B$2)^2,(C38-$C$2)^2,(D38-$D$2)^2,(E38-$E$2)^2,(F38-$F$2)^2)</f>
        <v>12.126280000000003</v>
      </c>
      <c r="I38" s="245">
        <f t="shared" si="2"/>
        <v>3.4822808617341598</v>
      </c>
      <c r="J38" s="245"/>
      <c r="K38" s="245">
        <f>AVERAGE((B38-$B$2)^2,(C38-$C$2)^2,(D38-$D$2)^2,(E38-$E$2)^2)</f>
        <v>9.7289500000000029</v>
      </c>
      <c r="L38" s="245">
        <f t="shared" si="3"/>
        <v>3.1191264802825813</v>
      </c>
    </row>
    <row r="39" spans="1:12" x14ac:dyDescent="0.25">
      <c r="A39" s="21" t="s">
        <v>77</v>
      </c>
      <c r="B39" s="21"/>
      <c r="C39" s="21"/>
      <c r="D39" s="21"/>
      <c r="E39" s="21"/>
      <c r="F39" s="21"/>
      <c r="G39" s="21"/>
      <c r="H39" s="21" t="s">
        <v>72</v>
      </c>
      <c r="I39" s="21" t="s">
        <v>73</v>
      </c>
      <c r="J39" s="21"/>
      <c r="K39" s="21" t="s">
        <v>70</v>
      </c>
      <c r="L39" s="21" t="s">
        <v>71</v>
      </c>
    </row>
    <row r="40" spans="1:12" x14ac:dyDescent="0.25">
      <c r="A40" t="s">
        <v>80</v>
      </c>
      <c r="B40">
        <v>32.520000000000003</v>
      </c>
      <c r="C40">
        <v>27.41</v>
      </c>
      <c r="D40">
        <v>17.54</v>
      </c>
      <c r="E40">
        <v>14.35</v>
      </c>
      <c r="F40">
        <v>8.17</v>
      </c>
      <c r="H40">
        <f>AVERAGE((B40-$B$2)^2,(C40-$C$2)^2,(D40-$D$2)^2,(E40-$E$2)^2,(F40-$F$2)^2)</f>
        <v>18.303899999999992</v>
      </c>
      <c r="I40">
        <f t="shared" ref="I40:I56" si="4">SQRT(H40)</f>
        <v>4.2783057394253614</v>
      </c>
      <c r="K40">
        <f>AVERAGE((B40-$B$2)^2,(C40-$C$2)^2,(D40-$D$2)^2,(E40-$E$2)^2)</f>
        <v>15.67064999999999</v>
      </c>
      <c r="L40">
        <f>SQRT(K40)</f>
        <v>3.9586171828051255</v>
      </c>
    </row>
    <row r="41" spans="1:12" x14ac:dyDescent="0.25">
      <c r="A41" t="s">
        <v>81</v>
      </c>
      <c r="B41">
        <v>33.56</v>
      </c>
      <c r="C41">
        <v>26.31</v>
      </c>
      <c r="D41">
        <v>14.24</v>
      </c>
      <c r="E41">
        <v>10.98</v>
      </c>
      <c r="F41">
        <v>14.92</v>
      </c>
      <c r="H41">
        <f>AVERAGE((B41-$B$2)^2,(C41-$C$2)^2,(D41-$D$2)^2,(E41-$E$2)^2,(F41-$F$2)^2)</f>
        <v>41.764020000000002</v>
      </c>
      <c r="I41">
        <f t="shared" si="4"/>
        <v>6.4625088007677016</v>
      </c>
      <c r="K41">
        <f>AVERAGE((B41-$B$2)^2,(C41-$C$2)^2,(D41-$D$2)^2,(E41-$E$2)^2)</f>
        <v>15.481424999999998</v>
      </c>
      <c r="L41">
        <f t="shared" ref="L41:L56" si="5">SQRT(K41)</f>
        <v>3.9346442024660879</v>
      </c>
    </row>
    <row r="42" spans="1:12" x14ac:dyDescent="0.25">
      <c r="A42" t="s">
        <v>82</v>
      </c>
      <c r="B42">
        <v>22.05</v>
      </c>
      <c r="C42">
        <v>38.68</v>
      </c>
      <c r="D42">
        <v>11.21</v>
      </c>
      <c r="E42">
        <v>6.75</v>
      </c>
      <c r="F42">
        <v>21.3</v>
      </c>
      <c r="H42">
        <f>AVERAGE((B42-$B$2)^2,(C42-$C$2)^2,(D42-$D$2)^2,(E42-$E$2)^2,(F42-$F$2)^2)</f>
        <v>123.85909999999998</v>
      </c>
      <c r="I42">
        <f t="shared" si="4"/>
        <v>11.129200330661677</v>
      </c>
      <c r="K42">
        <f>AVERAGE((B42-$B$2)^2,(C42-$C$2)^2,(D42-$D$2)^2,(E42-$E$2)^2)</f>
        <v>69.261374999999987</v>
      </c>
      <c r="L42">
        <f t="shared" si="5"/>
        <v>8.322341917993997</v>
      </c>
    </row>
    <row r="43" spans="1:12" x14ac:dyDescent="0.25">
      <c r="A43" t="s">
        <v>83</v>
      </c>
      <c r="B43">
        <v>23.12</v>
      </c>
      <c r="C43">
        <v>36.840000000000003</v>
      </c>
      <c r="D43">
        <v>11.41</v>
      </c>
      <c r="E43">
        <v>8.26</v>
      </c>
      <c r="F43">
        <v>20.38</v>
      </c>
      <c r="H43">
        <f>AVERAGE((B43-$B$2)^2,(C43-$C$2)^2,(D43-$D$2)^2,(E43-$E$2)^2,(F43-$F$2)^2)</f>
        <v>105.13801999999998</v>
      </c>
      <c r="I43">
        <f t="shared" si="4"/>
        <v>10.253683240670153</v>
      </c>
      <c r="K43">
        <f>AVERAGE((B43-$B$2)^2,(C43-$C$2)^2,(D43-$D$2)^2,(E43-$E$2)^2)</f>
        <v>54.158424999999994</v>
      </c>
      <c r="L43">
        <f t="shared" si="5"/>
        <v>7.359240789646714</v>
      </c>
    </row>
    <row r="44" spans="1:12" x14ac:dyDescent="0.25">
      <c r="A44" t="s">
        <v>84</v>
      </c>
      <c r="B44">
        <v>29.38</v>
      </c>
      <c r="C44">
        <v>28.2</v>
      </c>
      <c r="D44">
        <v>12.71</v>
      </c>
      <c r="E44">
        <v>15.24</v>
      </c>
      <c r="F44">
        <v>14.48</v>
      </c>
      <c r="H44">
        <f>AVERAGE((B44-$B$2)^2,(C44-$C$2)^2,(D44-$D$2)^2,(E44-$E$2)^2,(F44-$F$2)^2)</f>
        <v>46.199699999999993</v>
      </c>
      <c r="I44">
        <f t="shared" si="4"/>
        <v>6.7970361187800075</v>
      </c>
      <c r="K44">
        <f>AVERAGE((B44-$B$2)^2,(C44-$C$2)^2,(D44-$D$2)^2,(E44-$E$2)^2)</f>
        <v>23.644025000000003</v>
      </c>
      <c r="L44">
        <f t="shared" si="5"/>
        <v>4.8625122107815839</v>
      </c>
    </row>
    <row r="45" spans="1:12" x14ac:dyDescent="0.25">
      <c r="A45" t="s">
        <v>85</v>
      </c>
      <c r="B45">
        <v>32.4</v>
      </c>
      <c r="C45">
        <v>27.3</v>
      </c>
      <c r="D45">
        <v>17.600000000000001</v>
      </c>
      <c r="E45">
        <v>14.5</v>
      </c>
      <c r="F45">
        <v>8.1</v>
      </c>
      <c r="H45">
        <f>AVERAGE((B45-$B$2)^2,(C45-$C$2)^2,(D45-$D$2)^2,(E45-$E$2)^2,(F45-$F$2)^2)</f>
        <v>18.814</v>
      </c>
      <c r="I45">
        <f t="shared" si="4"/>
        <v>4.337510806902964</v>
      </c>
      <c r="K45">
        <f>AVERAGE((B45-$B$2)^2,(C45-$C$2)^2,(D45-$D$2)^2,(E45-$E$2)^2)</f>
        <v>16.494999999999997</v>
      </c>
      <c r="L45">
        <f t="shared" si="5"/>
        <v>4.0614036982304524</v>
      </c>
    </row>
    <row r="46" spans="1:12" x14ac:dyDescent="0.25">
      <c r="A46" t="s">
        <v>64</v>
      </c>
      <c r="B46">
        <v>34.68</v>
      </c>
      <c r="C46">
        <v>27.85</v>
      </c>
      <c r="D46">
        <v>16.72</v>
      </c>
      <c r="E46">
        <v>12.61</v>
      </c>
      <c r="F46">
        <v>8.14</v>
      </c>
      <c r="H46">
        <f>AVERAGE((B46-$B$2)^2,(C46-$C$2)^2,(D46-$D$2)^2,(E46-$E$2)^2,(F46-$F$2)^2)</f>
        <v>13.156999999999996</v>
      </c>
      <c r="I46">
        <f t="shared" si="4"/>
        <v>3.6272579174908417</v>
      </c>
      <c r="K46">
        <f>AVERAGE((B46-$B$2)^2,(C46-$C$2)^2,(D46-$D$2)^2,(E46-$E$2)^2)</f>
        <v>9.317349999999994</v>
      </c>
      <c r="L46">
        <f t="shared" si="5"/>
        <v>3.0524334554581194</v>
      </c>
    </row>
    <row r="47" spans="1:12" x14ac:dyDescent="0.25">
      <c r="A47" t="s">
        <v>86</v>
      </c>
      <c r="B47">
        <v>34.47</v>
      </c>
      <c r="C47">
        <v>27.98</v>
      </c>
      <c r="D47">
        <v>17.13</v>
      </c>
      <c r="E47">
        <v>12.75</v>
      </c>
      <c r="F47">
        <v>7.67</v>
      </c>
      <c r="H47">
        <f>AVERAGE((B47-$B$2)^2,(C47-$C$2)^2,(D47-$D$2)^2,(E47-$E$2)^2,(F47-$F$2)^2)</f>
        <v>12.364719999999998</v>
      </c>
      <c r="I47">
        <f t="shared" si="4"/>
        <v>3.516350380721466</v>
      </c>
      <c r="K47">
        <f>AVERAGE((B47-$B$2)^2,(C47-$C$2)^2,(D47-$D$2)^2,(E47-$E$2)^2)</f>
        <v>9.5266749999999973</v>
      </c>
      <c r="L47">
        <f t="shared" si="5"/>
        <v>3.0865312245302166</v>
      </c>
    </row>
    <row r="48" spans="1:12" x14ac:dyDescent="0.25">
      <c r="A48" t="s">
        <v>87</v>
      </c>
      <c r="B48">
        <v>23.44</v>
      </c>
      <c r="C48">
        <v>39.32</v>
      </c>
      <c r="D48">
        <v>12.25</v>
      </c>
      <c r="E48">
        <v>4.68</v>
      </c>
      <c r="F48">
        <v>20.32</v>
      </c>
      <c r="H48">
        <f>AVERAGE((B48-$B$2)^2,(C48-$C$2)^2,(D48-$D$2)^2,(E48-$E$2)^2,(F48-$F$2)^2)</f>
        <v>114.33386</v>
      </c>
      <c r="I48">
        <f t="shared" si="4"/>
        <v>10.692701248982878</v>
      </c>
      <c r="K48">
        <f>AVERAGE((B48-$B$2)^2,(C48-$C$2)^2,(D48-$D$2)^2,(E48-$E$2)^2)</f>
        <v>66.179724999999991</v>
      </c>
      <c r="L48">
        <f t="shared" si="5"/>
        <v>8.1350921937000802</v>
      </c>
    </row>
    <row r="49" spans="1:12" x14ac:dyDescent="0.25">
      <c r="A49" t="s">
        <v>88</v>
      </c>
      <c r="B49">
        <v>22.22</v>
      </c>
      <c r="C49">
        <v>40.299999999999997</v>
      </c>
      <c r="D49">
        <v>12.5</v>
      </c>
      <c r="E49">
        <v>4.78</v>
      </c>
      <c r="F49">
        <v>20.2</v>
      </c>
      <c r="H49">
        <f>AVERAGE((B49-$B$2)^2,(C49-$C$2)^2,(D49-$D$2)^2,(E49-$E$2)^2,(F49-$F$2)^2)</f>
        <v>122.00815999999998</v>
      </c>
      <c r="I49">
        <f t="shared" si="4"/>
        <v>11.045730396854704</v>
      </c>
      <c r="K49">
        <f>AVERAGE((B49-$B$2)^2,(C49-$C$2)^2,(D49-$D$2)^2,(E49-$E$2)^2)</f>
        <v>76.820199999999986</v>
      </c>
      <c r="L49">
        <f t="shared" si="5"/>
        <v>8.7647133438578582</v>
      </c>
    </row>
    <row r="50" spans="1:12" x14ac:dyDescent="0.25">
      <c r="A50" t="s">
        <v>65</v>
      </c>
      <c r="B50">
        <v>36.14</v>
      </c>
      <c r="C50">
        <v>24</v>
      </c>
      <c r="D50">
        <v>14.89</v>
      </c>
      <c r="E50">
        <v>9.5</v>
      </c>
      <c r="F50">
        <v>15.48</v>
      </c>
      <c r="H50">
        <f>AVERAGE((B50-$B$2)^2,(C50-$C$2)^2,(D50-$D$2)^2,(E50-$E$2)^2,(F50-$F$2)^2)</f>
        <v>51.503619999999998</v>
      </c>
      <c r="I50">
        <f t="shared" si="4"/>
        <v>7.1766022601228219</v>
      </c>
      <c r="K50">
        <f>AVERAGE((B50-$B$2)^2,(C50-$C$2)^2,(D50-$D$2)^2,(E50-$E$2)^2)</f>
        <v>24.183924999999999</v>
      </c>
      <c r="L50">
        <f t="shared" si="5"/>
        <v>4.9177154248695603</v>
      </c>
    </row>
    <row r="51" spans="1:12" x14ac:dyDescent="0.25">
      <c r="A51" t="s">
        <v>66</v>
      </c>
      <c r="B51">
        <v>23.33</v>
      </c>
      <c r="C51">
        <v>35.67</v>
      </c>
      <c r="D51">
        <v>11.67</v>
      </c>
      <c r="E51">
        <v>16.670000000000002</v>
      </c>
      <c r="F51">
        <v>12.67</v>
      </c>
      <c r="H51">
        <f>AVERAGE((B51-$B$2)^2,(C51-$C$2)^2,(D51-$D$2)^2,(E51-$E$2)^2,(F51-$F$2)^2)</f>
        <v>61.587300000000013</v>
      </c>
      <c r="I51">
        <f t="shared" si="4"/>
        <v>7.8477576415177355</v>
      </c>
      <c r="K51">
        <f>AVERAGE((B51-$B$2)^2,(C51-$C$2)^2,(D51-$D$2)^2,(E51-$E$2)^2)</f>
        <v>52.629900000000013</v>
      </c>
      <c r="L51">
        <f t="shared" si="5"/>
        <v>7.2546467867153952</v>
      </c>
    </row>
    <row r="52" spans="1:12" x14ac:dyDescent="0.25">
      <c r="A52" s="245" t="s">
        <v>89</v>
      </c>
      <c r="B52" s="245">
        <v>34.799999999999997</v>
      </c>
      <c r="C52" s="245">
        <v>28.08</v>
      </c>
      <c r="D52" s="245">
        <v>17.23</v>
      </c>
      <c r="E52" s="245">
        <v>13.41</v>
      </c>
      <c r="F52" s="245">
        <v>6.47</v>
      </c>
      <c r="G52" s="245"/>
      <c r="H52" s="245">
        <f>AVERAGE((B52-$B$2)^2,(C52-$C$2)^2,(D52-$D$2)^2,(E52-$E$2)^2,(F52-$F$2)^2)</f>
        <v>10.223660000000006</v>
      </c>
      <c r="I52" s="245">
        <f t="shared" si="4"/>
        <v>3.1974458556791867</v>
      </c>
      <c r="J52" s="245"/>
      <c r="K52" s="245">
        <f>AVERAGE((B52-$B$2)^2,(C52-$C$2)^2,(D52-$D$2)^2,(E52-$E$2)^2)</f>
        <v>9.4123500000000071</v>
      </c>
      <c r="L52" s="245">
        <f t="shared" si="5"/>
        <v>3.0679553451769808</v>
      </c>
    </row>
    <row r="53" spans="1:12" x14ac:dyDescent="0.25">
      <c r="A53" s="245" t="s">
        <v>90</v>
      </c>
      <c r="B53" s="245">
        <v>34.29</v>
      </c>
      <c r="C53" s="245">
        <v>29.17</v>
      </c>
      <c r="D53" s="245">
        <v>16.34</v>
      </c>
      <c r="E53" s="245">
        <v>13.96</v>
      </c>
      <c r="F53" s="245">
        <v>6.24</v>
      </c>
      <c r="G53" s="245"/>
      <c r="H53" s="245">
        <f>AVERAGE((B53-$B$2)^2,(C53-$C$2)^2,(D53-$D$2)^2,(E53-$E$2)^2,(F53-$F$2)^2)</f>
        <v>7.9915599999999971</v>
      </c>
      <c r="I53" s="245">
        <f t="shared" si="4"/>
        <v>2.8269347357164079</v>
      </c>
      <c r="J53" s="245"/>
      <c r="K53" s="245">
        <f>AVERAGE((B53-$B$2)^2,(C53-$C$2)^2,(D53-$D$2)^2,(E53-$E$2)^2)</f>
        <v>7.031049999999996</v>
      </c>
      <c r="L53" s="245">
        <f t="shared" si="5"/>
        <v>2.6516127168197086</v>
      </c>
    </row>
    <row r="54" spans="1:12" x14ac:dyDescent="0.25">
      <c r="A54" s="245" t="s">
        <v>91</v>
      </c>
      <c r="B54" s="245">
        <v>33.590000000000003</v>
      </c>
      <c r="C54" s="245">
        <v>26.23</v>
      </c>
      <c r="D54" s="245">
        <v>18.43</v>
      </c>
      <c r="E54" s="245">
        <v>14.39</v>
      </c>
      <c r="F54" s="245">
        <v>7.36</v>
      </c>
      <c r="G54" s="245"/>
      <c r="H54" s="245">
        <f>AVERAGE((B54-$B$2)^2,(C54-$C$2)^2,(D54-$D$2)^2,(E54-$E$2)^2,(F54-$F$2)^2)</f>
        <v>19.410319999999995</v>
      </c>
      <c r="I54" s="245">
        <f t="shared" si="4"/>
        <v>4.4057144710024039</v>
      </c>
      <c r="J54" s="245"/>
      <c r="K54" s="245">
        <f>AVERAGE((B54-$B$2)^2,(C54-$C$2)^2,(D54-$D$2)^2,(E54-$E$2)^2)</f>
        <v>19.064499999999992</v>
      </c>
      <c r="L54" s="245">
        <f t="shared" si="5"/>
        <v>4.3662913324696957</v>
      </c>
    </row>
    <row r="55" spans="1:12" x14ac:dyDescent="0.25">
      <c r="A55" s="245" t="s">
        <v>92</v>
      </c>
      <c r="B55" s="245">
        <v>33.520000000000003</v>
      </c>
      <c r="C55" s="245">
        <v>27.61</v>
      </c>
      <c r="D55" s="245">
        <v>17.13</v>
      </c>
      <c r="E55" s="245">
        <v>14.43</v>
      </c>
      <c r="F55" s="245">
        <v>7.31</v>
      </c>
      <c r="G55" s="245"/>
      <c r="H55" s="245">
        <f>AVERAGE((B55-$B$2)^2,(C55-$C$2)^2,(D55-$D$2)^2,(E55-$E$2)^2,(F55-$F$2)^2)</f>
        <v>14.516079999999993</v>
      </c>
      <c r="I55" s="245">
        <f t="shared" si="4"/>
        <v>3.8099973753271792</v>
      </c>
      <c r="J55" s="245"/>
      <c r="K55" s="245">
        <f>AVERAGE((B55-$B$2)^2,(C55-$C$2)^2,(D55-$D$2)^2,(E55-$E$2)^2)</f>
        <v>13.060074999999992</v>
      </c>
      <c r="L55" s="245">
        <f t="shared" si="5"/>
        <v>3.6138725766136237</v>
      </c>
    </row>
    <row r="56" spans="1:12" x14ac:dyDescent="0.25">
      <c r="A56" s="245" t="s">
        <v>93</v>
      </c>
      <c r="B56" s="245">
        <v>38.5</v>
      </c>
      <c r="C56" s="245">
        <v>26.96</v>
      </c>
      <c r="D56" s="245">
        <v>14.9</v>
      </c>
      <c r="E56" s="245">
        <v>12.18</v>
      </c>
      <c r="F56" s="245">
        <v>7.45</v>
      </c>
      <c r="G56" s="245"/>
      <c r="H56" s="245">
        <f>AVERAGE((B56-$B$2)^2,(C56-$C$2)^2,(D56-$D$2)^2,(E56-$E$2)^2,(F56-$F$2)^2)</f>
        <v>13.799299999999999</v>
      </c>
      <c r="I56" s="245">
        <f t="shared" si="4"/>
        <v>3.7147409061736725</v>
      </c>
      <c r="J56" s="245"/>
      <c r="K56" s="245">
        <f>AVERAGE((B56-$B$2)^2,(C56-$C$2)^2,(D56-$D$2)^2,(E56-$E$2)^2)</f>
        <v>11.843500000000001</v>
      </c>
      <c r="L56" s="245">
        <f t="shared" si="5"/>
        <v>3.4414386526567635</v>
      </c>
    </row>
    <row r="57" spans="1:12" x14ac:dyDescent="0.25">
      <c r="A57" s="21" t="s">
        <v>78</v>
      </c>
      <c r="B57" s="21"/>
      <c r="C57" s="21"/>
      <c r="D57" s="21"/>
      <c r="E57" s="21"/>
      <c r="F57" s="21"/>
      <c r="G57" s="21"/>
      <c r="H57" s="21" t="s">
        <v>72</v>
      </c>
      <c r="I57" s="21" t="s">
        <v>73</v>
      </c>
      <c r="J57" s="21"/>
      <c r="K57" s="21" t="s">
        <v>70</v>
      </c>
      <c r="L57" s="21" t="s">
        <v>71</v>
      </c>
    </row>
    <row r="58" spans="1:12" x14ac:dyDescent="0.25">
      <c r="A58" t="s">
        <v>80</v>
      </c>
      <c r="B58">
        <v>32.54</v>
      </c>
      <c r="C58">
        <v>27.44</v>
      </c>
      <c r="D58">
        <v>17.559999999999999</v>
      </c>
      <c r="E58">
        <v>14.32</v>
      </c>
      <c r="F58">
        <v>8.14</v>
      </c>
      <c r="H58">
        <f>AVERAGE((B58-$B$2)^2,(C58-$C$2)^2,(D58-$D$2)^2,(E58-$E$2)^2,(F58-$F$2)^2)</f>
        <v>18.125759999999996</v>
      </c>
      <c r="I58">
        <f t="shared" ref="I58:I74" si="6">SQRT(H58)</f>
        <v>4.2574358480193215</v>
      </c>
      <c r="K58">
        <f>AVERAGE((B58-$B$2)^2,(C58-$C$2)^2,(D58-$D$2)^2,(E58-$E$2)^2)</f>
        <v>15.528299999999994</v>
      </c>
      <c r="L58">
        <f>SQRT(K58)</f>
        <v>3.94059640156157</v>
      </c>
    </row>
    <row r="59" spans="1:12" x14ac:dyDescent="0.25">
      <c r="A59" t="s">
        <v>81</v>
      </c>
      <c r="B59">
        <v>33.4</v>
      </c>
      <c r="C59">
        <v>26.2</v>
      </c>
      <c r="D59">
        <v>14</v>
      </c>
      <c r="E59">
        <v>11.4</v>
      </c>
      <c r="F59">
        <v>15</v>
      </c>
      <c r="H59">
        <f>AVERAGE((B59-$B$2)^2,(C59-$C$2)^2,(D59-$D$2)^2,(E59-$E$2)^2,(F59-$F$2)^2)</f>
        <v>42.636000000000003</v>
      </c>
      <c r="I59">
        <f t="shared" si="6"/>
        <v>6.5296247977965782</v>
      </c>
      <c r="K59">
        <f>AVERAGE((B59-$B$2)^2,(C59-$C$2)^2,(D59-$D$2)^2,(E59-$E$2)^2)</f>
        <v>16.085000000000004</v>
      </c>
      <c r="L59">
        <f t="shared" ref="L59:L74" si="7">SQRT(K59)</f>
        <v>4.010610926031096</v>
      </c>
    </row>
    <row r="60" spans="1:12" x14ac:dyDescent="0.25">
      <c r="A60" t="s">
        <v>82</v>
      </c>
      <c r="B60">
        <v>21.72</v>
      </c>
      <c r="C60">
        <v>39</v>
      </c>
      <c r="D60">
        <v>11.26</v>
      </c>
      <c r="E60">
        <v>6.68</v>
      </c>
      <c r="F60">
        <v>21.33</v>
      </c>
      <c r="H60">
        <f>AVERAGE((B60-$B$2)^2,(C60-$C$2)^2,(D60-$D$2)^2,(E60-$E$2)^2,(F60-$F$2)^2)</f>
        <v>126.74745999999998</v>
      </c>
      <c r="I60">
        <f t="shared" si="6"/>
        <v>11.258217443272269</v>
      </c>
      <c r="K60">
        <f>AVERAGE((B60-$B$2)^2,(C60-$C$2)^2,(D60-$D$2)^2,(E60-$E$2)^2)</f>
        <v>72.594099999999997</v>
      </c>
      <c r="L60">
        <f t="shared" si="7"/>
        <v>8.5202171333833974</v>
      </c>
    </row>
    <row r="61" spans="1:12" x14ac:dyDescent="0.25">
      <c r="A61" t="s">
        <v>83</v>
      </c>
      <c r="B61">
        <v>23.09</v>
      </c>
      <c r="C61">
        <v>37.22</v>
      </c>
      <c r="D61">
        <v>11.21</v>
      </c>
      <c r="E61">
        <v>7.94</v>
      </c>
      <c r="F61">
        <v>20.55</v>
      </c>
      <c r="H61">
        <f>AVERAGE((B61-$B$2)^2,(C61-$C$2)^2,(D61-$D$2)^2,(E61-$E$2)^2,(F61-$F$2)^2)</f>
        <v>107.85373999999999</v>
      </c>
      <c r="I61">
        <f t="shared" si="6"/>
        <v>10.385265523808238</v>
      </c>
      <c r="K61">
        <f>AVERAGE((B61-$B$2)^2,(C61-$C$2)^2,(D61-$D$2)^2,(E61-$E$2)^2)</f>
        <v>56.051549999999985</v>
      </c>
      <c r="L61">
        <f t="shared" si="7"/>
        <v>7.4867583105106297</v>
      </c>
    </row>
    <row r="62" spans="1:12" x14ac:dyDescent="0.25">
      <c r="A62" t="s">
        <v>84</v>
      </c>
      <c r="B62">
        <v>29.46</v>
      </c>
      <c r="C62">
        <v>28.13</v>
      </c>
      <c r="D62">
        <v>12.51</v>
      </c>
      <c r="E62">
        <v>15.2</v>
      </c>
      <c r="F62">
        <v>14.7</v>
      </c>
      <c r="H62">
        <f>AVERAGE((B62-$B$2)^2,(C62-$C$2)^2,(D62-$D$2)^2,(E62-$E$2)^2,(F62-$F$2)^2)</f>
        <v>47.326919999999987</v>
      </c>
      <c r="I62">
        <f t="shared" si="6"/>
        <v>6.8794563738714114</v>
      </c>
      <c r="K62">
        <f>AVERAGE((B62-$B$2)^2,(C62-$C$2)^2,(D62-$D$2)^2,(E62-$E$2)^2)</f>
        <v>23.756149999999995</v>
      </c>
      <c r="L62">
        <f t="shared" si="7"/>
        <v>4.8740281082488632</v>
      </c>
    </row>
    <row r="63" spans="1:12" x14ac:dyDescent="0.25">
      <c r="A63" t="s">
        <v>85</v>
      </c>
      <c r="B63">
        <v>32.299999999999997</v>
      </c>
      <c r="C63">
        <v>27.4</v>
      </c>
      <c r="D63">
        <v>17.600000000000001</v>
      </c>
      <c r="E63">
        <v>14.6</v>
      </c>
      <c r="F63">
        <v>8.1</v>
      </c>
      <c r="H63">
        <f>AVERAGE((B63-$B$2)^2,(C63-$C$2)^2,(D63-$D$2)^2,(E63-$E$2)^2,(F63-$F$2)^2)</f>
        <v>18.832000000000004</v>
      </c>
      <c r="I63">
        <f t="shared" si="6"/>
        <v>4.3395852336369662</v>
      </c>
      <c r="K63">
        <f>AVERAGE((B63-$B$2)^2,(C63-$C$2)^2,(D63-$D$2)^2,(E63-$E$2)^2)</f>
        <v>16.517500000000005</v>
      </c>
      <c r="L63">
        <f t="shared" si="7"/>
        <v>4.0641727325496397</v>
      </c>
    </row>
    <row r="64" spans="1:12" x14ac:dyDescent="0.25">
      <c r="A64" t="s">
        <v>64</v>
      </c>
      <c r="B64">
        <v>34.65</v>
      </c>
      <c r="C64">
        <v>27.84</v>
      </c>
      <c r="D64">
        <v>16.71</v>
      </c>
      <c r="E64">
        <v>12.67</v>
      </c>
      <c r="F64">
        <v>8.1300000000000008</v>
      </c>
      <c r="H64">
        <f>AVERAGE((B64-$B$2)^2,(C64-$C$2)^2,(D64-$D$2)^2,(E64-$E$2)^2,(F64-$F$2)^2)</f>
        <v>13.188800000000004</v>
      </c>
      <c r="I64">
        <f t="shared" si="6"/>
        <v>3.631638748554157</v>
      </c>
      <c r="K64">
        <f>AVERAGE((B64-$B$2)^2,(C64-$C$2)^2,(D64-$D$2)^2,(E64-$E$2)^2)</f>
        <v>9.3837750000000018</v>
      </c>
      <c r="L64">
        <f t="shared" si="7"/>
        <v>3.0632947948246838</v>
      </c>
    </row>
    <row r="65" spans="1:12" x14ac:dyDescent="0.25">
      <c r="A65" t="s">
        <v>86</v>
      </c>
      <c r="B65">
        <v>34.270000000000003</v>
      </c>
      <c r="C65">
        <v>28.1</v>
      </c>
      <c r="D65">
        <v>17.12</v>
      </c>
      <c r="E65">
        <v>12.82</v>
      </c>
      <c r="F65">
        <v>7.69</v>
      </c>
      <c r="H65">
        <f>AVERAGE((B65-$B$2)^2,(C65-$C$2)^2,(D65-$D$2)^2,(E65-$E$2)^2,(F65-$F$2)^2)</f>
        <v>12.318759999999994</v>
      </c>
      <c r="I65">
        <f t="shared" si="6"/>
        <v>3.5098091116184644</v>
      </c>
      <c r="K65">
        <f>AVERAGE((B65-$B$2)^2,(C65-$C$2)^2,(D65-$D$2)^2,(E65-$E$2)^2)</f>
        <v>9.4204249999999927</v>
      </c>
      <c r="L65">
        <f t="shared" si="7"/>
        <v>3.0692710861049717</v>
      </c>
    </row>
    <row r="66" spans="1:12" x14ac:dyDescent="0.25">
      <c r="A66" t="s">
        <v>87</v>
      </c>
      <c r="B66">
        <v>23.4</v>
      </c>
      <c r="C66">
        <v>39.409999999999997</v>
      </c>
      <c r="D66">
        <v>12.26</v>
      </c>
      <c r="E66">
        <v>4.68</v>
      </c>
      <c r="F66">
        <v>20.25</v>
      </c>
      <c r="H66">
        <f>AVERAGE((B66-$B$2)^2,(C66-$C$2)^2,(D66-$D$2)^2,(E66-$E$2)^2,(F66-$F$2)^2)</f>
        <v>114.25091999999999</v>
      </c>
      <c r="I66">
        <f t="shared" si="6"/>
        <v>10.688822198914153</v>
      </c>
      <c r="K66">
        <f>AVERAGE((B66-$B$2)^2,(C66-$C$2)^2,(D66-$D$2)^2,(E66-$E$2)^2)</f>
        <v>66.688024999999996</v>
      </c>
      <c r="L66">
        <f t="shared" si="7"/>
        <v>8.1662736299979564</v>
      </c>
    </row>
    <row r="67" spans="1:12" x14ac:dyDescent="0.25">
      <c r="A67" t="s">
        <v>88</v>
      </c>
      <c r="B67">
        <v>21.96</v>
      </c>
      <c r="C67">
        <v>41.05</v>
      </c>
      <c r="D67">
        <v>12.29</v>
      </c>
      <c r="E67">
        <v>4.49</v>
      </c>
      <c r="F67">
        <v>20.21</v>
      </c>
      <c r="H67">
        <f>AVERAGE((B67-$B$2)^2,(C67-$C$2)^2,(D67-$D$2)^2,(E67-$E$2)^2,(F67-$F$2)^2)</f>
        <v>126.81688</v>
      </c>
      <c r="I67">
        <f t="shared" si="6"/>
        <v>11.261300102563647</v>
      </c>
      <c r="K67">
        <f>AVERAGE((B67-$B$2)^2,(C67-$C$2)^2,(D67-$D$2)^2,(E67-$E$2)^2)</f>
        <v>82.744074999999981</v>
      </c>
      <c r="L67">
        <f t="shared" si="7"/>
        <v>9.0963770260472376</v>
      </c>
    </row>
    <row r="68" spans="1:12" x14ac:dyDescent="0.25">
      <c r="A68" t="s">
        <v>65</v>
      </c>
      <c r="B68">
        <v>35.549999999999997</v>
      </c>
      <c r="C68">
        <v>24.04</v>
      </c>
      <c r="D68">
        <v>14.7</v>
      </c>
      <c r="E68">
        <v>10.199999999999999</v>
      </c>
      <c r="F68">
        <v>15.51</v>
      </c>
      <c r="H68">
        <f>AVERAGE((B68-$B$2)^2,(C68-$C$2)^2,(D68-$D$2)^2,(E68-$E$2)^2,(F68-$F$2)^2)</f>
        <v>51.071640000000009</v>
      </c>
      <c r="I68">
        <f t="shared" si="6"/>
        <v>7.1464424716078145</v>
      </c>
      <c r="K68">
        <f>AVERAGE((B68-$B$2)^2,(C68-$C$2)^2,(D68-$D$2)^2,(E68-$E$2)^2)</f>
        <v>23.453525000000006</v>
      </c>
      <c r="L68">
        <f t="shared" si="7"/>
        <v>4.8428839548351768</v>
      </c>
    </row>
    <row r="69" spans="1:12" x14ac:dyDescent="0.25">
      <c r="A69" t="s">
        <v>66</v>
      </c>
      <c r="B69">
        <v>23.3</v>
      </c>
      <c r="C69">
        <v>35.67</v>
      </c>
      <c r="D69">
        <v>11.65</v>
      </c>
      <c r="E69">
        <v>16.68</v>
      </c>
      <c r="F69">
        <v>12.7</v>
      </c>
      <c r="H69">
        <f>AVERAGE((B69-$B$2)^2,(C69-$C$2)^2,(D69-$D$2)^2,(E69-$E$2)^2,(F69-$F$2)^2)</f>
        <v>61.910759999999982</v>
      </c>
      <c r="I69">
        <f t="shared" si="6"/>
        <v>7.868339087761786</v>
      </c>
      <c r="K69">
        <f>AVERAGE((B69-$B$2)^2,(C69-$C$2)^2,(D69-$D$2)^2,(E69-$E$2)^2)</f>
        <v>52.885949999999987</v>
      </c>
      <c r="L69">
        <f t="shared" si="7"/>
        <v>7.2722726846564267</v>
      </c>
    </row>
    <row r="70" spans="1:12" x14ac:dyDescent="0.25">
      <c r="A70" s="245" t="s">
        <v>89</v>
      </c>
      <c r="B70" s="245">
        <v>34.54</v>
      </c>
      <c r="C70" s="245">
        <v>28.25</v>
      </c>
      <c r="D70" s="245">
        <v>17.11</v>
      </c>
      <c r="E70" s="245">
        <v>13.65</v>
      </c>
      <c r="F70" s="245">
        <v>6.46</v>
      </c>
      <c r="G70" s="245"/>
      <c r="H70" s="245">
        <f>AVERAGE((B70-$B$2)^2,(C70-$C$2)^2,(D70-$D$2)^2,(E70-$E$2)^2,(F70-$F$2)^2)</f>
        <v>10.083259999999999</v>
      </c>
      <c r="I70" s="245">
        <f t="shared" si="6"/>
        <v>3.1754149335165631</v>
      </c>
      <c r="J70" s="245"/>
      <c r="K70" s="245">
        <f>AVERAGE((B70-$B$2)^2,(C70-$C$2)^2,(D70-$D$2)^2,(E70-$E$2)^2)</f>
        <v>9.2551749999999995</v>
      </c>
      <c r="L70" s="245">
        <f t="shared" si="7"/>
        <v>3.042231910949591</v>
      </c>
    </row>
    <row r="71" spans="1:12" x14ac:dyDescent="0.25">
      <c r="A71" s="245" t="s">
        <v>90</v>
      </c>
      <c r="B71" s="245">
        <v>34.42</v>
      </c>
      <c r="C71" s="245">
        <v>29.29</v>
      </c>
      <c r="D71" s="245">
        <v>16.32</v>
      </c>
      <c r="E71" s="245">
        <v>13.8</v>
      </c>
      <c r="F71" s="245">
        <v>6.17</v>
      </c>
      <c r="G71" s="245"/>
      <c r="H71" s="245">
        <f>AVERAGE((B71-$B$2)^2,(C71-$C$2)^2,(D71-$D$2)^2,(E71-$E$2)^2,(F71-$F$2)^2)</f>
        <v>7.4563599999999992</v>
      </c>
      <c r="I71" s="245">
        <f t="shared" si="6"/>
        <v>2.7306336261021906</v>
      </c>
      <c r="J71" s="245"/>
      <c r="K71" s="245">
        <f>AVERAGE((B71-$B$2)^2,(C71-$C$2)^2,(D71-$D$2)^2,(E71-$E$2)^2)</f>
        <v>6.4812249999999985</v>
      </c>
      <c r="L71" s="245">
        <f t="shared" si="7"/>
        <v>2.5458250136252487</v>
      </c>
    </row>
    <row r="72" spans="1:12" x14ac:dyDescent="0.25">
      <c r="A72" s="245" t="s">
        <v>91</v>
      </c>
      <c r="B72" s="245">
        <v>33.43</v>
      </c>
      <c r="C72" s="245">
        <v>26.13</v>
      </c>
      <c r="D72" s="245">
        <v>18.41</v>
      </c>
      <c r="E72" s="245">
        <v>14.55</v>
      </c>
      <c r="F72" s="245">
        <v>7.48</v>
      </c>
      <c r="G72" s="245"/>
      <c r="H72" s="245">
        <f>AVERAGE((B72-$B$2)^2,(C72-$C$2)^2,(D72-$D$2)^2,(E72-$E$2)^2,(F72-$F$2)^2)</f>
        <v>20.242960000000004</v>
      </c>
      <c r="I72" s="245">
        <f t="shared" si="6"/>
        <v>4.4992177097802237</v>
      </c>
      <c r="J72" s="245"/>
      <c r="K72" s="245">
        <f>AVERAGE((B72-$B$2)^2,(C72-$C$2)^2,(D72-$D$2)^2,(E72-$E$2)^2)</f>
        <v>19.828100000000003</v>
      </c>
      <c r="L72" s="245">
        <f t="shared" si="7"/>
        <v>4.4528754754652642</v>
      </c>
    </row>
    <row r="73" spans="1:12" x14ac:dyDescent="0.25">
      <c r="A73" s="245" t="s">
        <v>92</v>
      </c>
      <c r="B73" s="245">
        <v>33.25</v>
      </c>
      <c r="C73" s="245">
        <v>27.85</v>
      </c>
      <c r="D73" s="245">
        <v>16.98</v>
      </c>
      <c r="E73" s="245">
        <v>14.51</v>
      </c>
      <c r="F73" s="245">
        <v>7.41</v>
      </c>
      <c r="G73" s="245"/>
      <c r="H73" s="245">
        <f>AVERAGE((B73-$B$2)^2,(C73-$C$2)^2,(D73-$D$2)^2,(E73-$E$2)^2,(F73-$F$2)^2)</f>
        <v>14.443919999999997</v>
      </c>
      <c r="I73" s="245">
        <f t="shared" si="6"/>
        <v>3.8005157544733317</v>
      </c>
      <c r="J73" s="245"/>
      <c r="K73" s="245">
        <f>AVERAGE((B73-$B$2)^2,(C73-$C$2)^2,(D73-$D$2)^2,(E73-$E$2)^2)</f>
        <v>12.741874999999995</v>
      </c>
      <c r="L73" s="245">
        <f t="shared" si="7"/>
        <v>3.569576305389758</v>
      </c>
    </row>
    <row r="74" spans="1:12" x14ac:dyDescent="0.25">
      <c r="A74" s="245" t="s">
        <v>93</v>
      </c>
      <c r="B74" s="245">
        <v>37.57</v>
      </c>
      <c r="C74" s="245">
        <v>27.45</v>
      </c>
      <c r="D74" s="245">
        <v>14.72</v>
      </c>
      <c r="E74" s="245">
        <v>12.8</v>
      </c>
      <c r="F74" s="245">
        <v>7.46</v>
      </c>
      <c r="G74" s="245"/>
      <c r="H74" s="245">
        <f>AVERAGE((B74-$B$2)^2,(C74-$C$2)^2,(D74-$D$2)^2,(E74-$E$2)^2,(F74-$F$2)^2)</f>
        <v>12.132680000000002</v>
      </c>
      <c r="I74" s="245">
        <f t="shared" si="6"/>
        <v>3.4831996784565771</v>
      </c>
      <c r="J74" s="245"/>
      <c r="K74" s="245">
        <f>AVERAGE((B74-$B$2)^2,(C74-$C$2)^2,(D74-$D$2)^2,(E74-$E$2)^2)</f>
        <v>9.736950000000002</v>
      </c>
      <c r="L74" s="245">
        <f t="shared" si="7"/>
        <v>3.1204086270871643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3E1-BF83-4E44-A3A5-59DD75CD6392}">
  <dimension ref="A1:L78"/>
  <sheetViews>
    <sheetView zoomScale="85" zoomScaleNormal="85" workbookViewId="0">
      <selection activeCell="Q13" sqref="Q13"/>
    </sheetView>
  </sheetViews>
  <sheetFormatPr baseColWidth="10" defaultRowHeight="15" x14ac:dyDescent="0.25"/>
  <cols>
    <col min="1" max="1" width="43.85546875" customWidth="1"/>
    <col min="7" max="7" width="14.28515625" customWidth="1"/>
    <col min="8" max="9" width="12.42578125" customWidth="1"/>
  </cols>
  <sheetData>
    <row r="1" spans="1:12" x14ac:dyDescent="0.25">
      <c r="A1" s="21"/>
      <c r="B1" s="21" t="s">
        <v>0</v>
      </c>
      <c r="C1" s="21" t="s">
        <v>1</v>
      </c>
      <c r="D1" s="21" t="s">
        <v>74</v>
      </c>
      <c r="E1" s="21" t="s">
        <v>3</v>
      </c>
      <c r="F1" s="21" t="s">
        <v>23</v>
      </c>
      <c r="G1" s="21"/>
      <c r="H1" s="21" t="s">
        <v>72</v>
      </c>
      <c r="I1" s="21" t="s">
        <v>73</v>
      </c>
      <c r="K1" s="21" t="s">
        <v>70</v>
      </c>
      <c r="L1" s="21" t="s">
        <v>71</v>
      </c>
    </row>
    <row r="2" spans="1:12" x14ac:dyDescent="0.25">
      <c r="A2" s="243" t="s">
        <v>79</v>
      </c>
      <c r="B2" s="243">
        <v>34.9</v>
      </c>
      <c r="C2" s="243">
        <v>32.1</v>
      </c>
      <c r="D2" s="243">
        <v>15.7</v>
      </c>
      <c r="E2" s="243">
        <v>15.2</v>
      </c>
      <c r="F2" s="243">
        <v>2.2000000000000002</v>
      </c>
      <c r="G2" s="247"/>
      <c r="H2" s="243"/>
      <c r="I2" s="243"/>
      <c r="J2" s="243"/>
      <c r="K2" s="243"/>
      <c r="L2" s="243"/>
    </row>
    <row r="3" spans="1:12" x14ac:dyDescent="0.25">
      <c r="A3" s="21" t="s">
        <v>75</v>
      </c>
      <c r="B3" s="21"/>
      <c r="C3" s="21"/>
      <c r="D3" s="21"/>
      <c r="E3" s="21"/>
      <c r="F3" s="21"/>
      <c r="G3" s="21"/>
      <c r="H3" s="21" t="s">
        <v>72</v>
      </c>
      <c r="I3" s="21" t="s">
        <v>73</v>
      </c>
      <c r="J3" s="21"/>
      <c r="K3" s="21" t="s">
        <v>70</v>
      </c>
      <c r="L3" s="21" t="s">
        <v>71</v>
      </c>
    </row>
    <row r="4" spans="1:12" x14ac:dyDescent="0.25">
      <c r="A4" t="s">
        <v>80</v>
      </c>
      <c r="B4">
        <v>31.31</v>
      </c>
      <c r="C4">
        <v>26.01</v>
      </c>
      <c r="D4">
        <v>17.54</v>
      </c>
      <c r="E4">
        <v>16.96</v>
      </c>
      <c r="F4">
        <v>8.17</v>
      </c>
      <c r="H4">
        <f>AVERAGE((B4-$B$2)^2,(C4-$C$2)^2,(D4-$D$2)^2,(E4-$E$2)^2,(F4-$F$2)^2)</f>
        <v>18.420059999999999</v>
      </c>
      <c r="I4">
        <f>SQRT(H4)</f>
        <v>4.2918597367574813</v>
      </c>
      <c r="K4">
        <f>AVERAGE((B4-$B$2)^2,(C4-$C$2)^2,(D4-$D$2)^2,(E4-$E$2)^2)</f>
        <v>14.114850000000001</v>
      </c>
      <c r="L4">
        <f>SQRT(K4)</f>
        <v>3.756973516009928</v>
      </c>
    </row>
    <row r="5" spans="1:12" x14ac:dyDescent="0.25">
      <c r="A5" t="s">
        <v>81</v>
      </c>
      <c r="B5">
        <v>34.51</v>
      </c>
      <c r="C5">
        <v>24.6</v>
      </c>
      <c r="D5">
        <v>13.13</v>
      </c>
      <c r="E5">
        <v>13.69</v>
      </c>
      <c r="F5">
        <v>14.06</v>
      </c>
      <c r="H5">
        <f>AVERAGE((B5-$B$2)^2,(C5-$C$2)^2,(D5-$D$2)^2,(E5-$E$2)^2,(F5-$F$2)^2)</f>
        <v>41.189339999999994</v>
      </c>
      <c r="I5">
        <f>SQRT(H5)</f>
        <v>6.4178921773429627</v>
      </c>
      <c r="K5">
        <f>AVERAGE((B5-$B$2)^2,(C5-$C$2)^2,(D5-$D$2)^2,(E5-$E$2)^2)</f>
        <v>16.321774999999999</v>
      </c>
      <c r="L5">
        <f>SQRT(K5)</f>
        <v>4.0400216583577864</v>
      </c>
    </row>
    <row r="6" spans="1:12" x14ac:dyDescent="0.25">
      <c r="A6" t="s">
        <v>82</v>
      </c>
      <c r="B6">
        <v>22.52</v>
      </c>
      <c r="C6">
        <v>34.53</v>
      </c>
      <c r="D6">
        <v>10.88</v>
      </c>
      <c r="E6">
        <v>9.35</v>
      </c>
      <c r="F6">
        <v>22.72</v>
      </c>
      <c r="H6">
        <f t="shared" ref="H6:H20" si="0">AVERAGE((B6-$B$2)^2,(C6-$C$2)^2,(D6-$D$2)^2,(E6-$E$2)^2,(F6-$F$2)^2)</f>
        <v>127.53891999999999</v>
      </c>
      <c r="I6">
        <f t="shared" ref="I6:I20" si="1">SQRT(H6)</f>
        <v>11.29331306570397</v>
      </c>
      <c r="K6">
        <f t="shared" ref="K6:K20" si="2">AVERAGE((B6-$B$2)^2,(C6-$C$2)^2,(D6-$D$2)^2,(E6-$E$2)^2)</f>
        <v>54.156049999999986</v>
      </c>
      <c r="L6">
        <f t="shared" ref="L6:L20" si="3">SQRT(K6)</f>
        <v>7.3590794261238948</v>
      </c>
    </row>
    <row r="7" spans="1:12" x14ac:dyDescent="0.25">
      <c r="A7" t="s">
        <v>83</v>
      </c>
      <c r="B7">
        <v>22.93</v>
      </c>
      <c r="C7">
        <v>34.71</v>
      </c>
      <c r="D7">
        <v>11.15</v>
      </c>
      <c r="E7">
        <v>9.34</v>
      </c>
      <c r="F7">
        <v>21.87</v>
      </c>
      <c r="H7">
        <f t="shared" si="0"/>
        <v>118.4088</v>
      </c>
      <c r="I7">
        <f t="shared" si="1"/>
        <v>10.881580767517191</v>
      </c>
      <c r="K7">
        <f t="shared" si="2"/>
        <v>51.283774999999984</v>
      </c>
      <c r="L7">
        <f t="shared" si="3"/>
        <v>7.1612690914390296</v>
      </c>
    </row>
    <row r="8" spans="1:12" x14ac:dyDescent="0.25">
      <c r="A8" t="s">
        <v>84</v>
      </c>
      <c r="B8">
        <v>29.14</v>
      </c>
      <c r="C8">
        <v>27.35</v>
      </c>
      <c r="D8">
        <v>11.54</v>
      </c>
      <c r="E8">
        <v>18.11</v>
      </c>
      <c r="F8">
        <v>13.86</v>
      </c>
      <c r="H8">
        <f t="shared" si="0"/>
        <v>43.493880000000004</v>
      </c>
      <c r="I8">
        <f t="shared" si="1"/>
        <v>6.5949890068141892</v>
      </c>
      <c r="K8">
        <f t="shared" si="2"/>
        <v>20.378449999999997</v>
      </c>
      <c r="L8">
        <f t="shared" si="3"/>
        <v>4.514249660796354</v>
      </c>
    </row>
    <row r="9" spans="1:12" x14ac:dyDescent="0.25">
      <c r="A9" t="s">
        <v>85</v>
      </c>
      <c r="B9">
        <v>32.22</v>
      </c>
      <c r="C9">
        <v>25.41</v>
      </c>
      <c r="D9">
        <v>17.46</v>
      </c>
      <c r="E9">
        <v>16.79</v>
      </c>
      <c r="F9">
        <v>8.11</v>
      </c>
      <c r="H9">
        <f t="shared" si="0"/>
        <v>18.498460000000005</v>
      </c>
      <c r="I9">
        <f t="shared" si="1"/>
        <v>4.3009836084319133</v>
      </c>
      <c r="K9">
        <f t="shared" si="2"/>
        <v>14.391050000000007</v>
      </c>
      <c r="L9">
        <f t="shared" si="3"/>
        <v>3.7935537428643351</v>
      </c>
    </row>
    <row r="10" spans="1:12" x14ac:dyDescent="0.25">
      <c r="A10" t="s">
        <v>64</v>
      </c>
      <c r="B10">
        <v>32.619999999999997</v>
      </c>
      <c r="C10">
        <v>25.33</v>
      </c>
      <c r="D10">
        <v>17.55</v>
      </c>
      <c r="E10">
        <v>16.16</v>
      </c>
      <c r="F10">
        <v>8.34</v>
      </c>
      <c r="H10">
        <f t="shared" si="0"/>
        <v>18.615000000000013</v>
      </c>
      <c r="I10">
        <f t="shared" si="1"/>
        <v>4.3145104009609261</v>
      </c>
      <c r="K10">
        <f t="shared" si="2"/>
        <v>13.843850000000016</v>
      </c>
      <c r="L10">
        <f t="shared" si="3"/>
        <v>3.7207324547728522</v>
      </c>
    </row>
    <row r="11" spans="1:12" x14ac:dyDescent="0.25">
      <c r="A11" t="s">
        <v>86</v>
      </c>
      <c r="B11">
        <v>33.49</v>
      </c>
      <c r="C11">
        <v>24.91</v>
      </c>
      <c r="D11">
        <v>17.760000000000002</v>
      </c>
      <c r="E11">
        <v>16.079999999999998</v>
      </c>
      <c r="F11">
        <v>7.77</v>
      </c>
      <c r="H11">
        <f t="shared" si="0"/>
        <v>17.945420000000002</v>
      </c>
      <c r="I11">
        <f t="shared" si="1"/>
        <v>4.2362034889745326</v>
      </c>
      <c r="K11">
        <f t="shared" si="2"/>
        <v>14.675550000000003</v>
      </c>
      <c r="L11">
        <f t="shared" si="3"/>
        <v>3.8308680478450317</v>
      </c>
    </row>
    <row r="12" spans="1:12" x14ac:dyDescent="0.25">
      <c r="A12" t="s">
        <v>87</v>
      </c>
      <c r="B12">
        <v>25.14</v>
      </c>
      <c r="C12">
        <v>34.06</v>
      </c>
      <c r="D12">
        <v>11.22</v>
      </c>
      <c r="E12">
        <v>5.52</v>
      </c>
      <c r="F12">
        <v>24.06</v>
      </c>
      <c r="H12">
        <f t="shared" si="0"/>
        <v>138.14632</v>
      </c>
      <c r="I12">
        <f t="shared" si="1"/>
        <v>11.753566267307978</v>
      </c>
      <c r="K12">
        <f t="shared" si="2"/>
        <v>53.217999999999989</v>
      </c>
      <c r="L12">
        <f t="shared" si="3"/>
        <v>7.2950668262874734</v>
      </c>
    </row>
    <row r="13" spans="1:12" x14ac:dyDescent="0.25">
      <c r="A13" t="s">
        <v>88</v>
      </c>
      <c r="B13" s="248">
        <v>23.66</v>
      </c>
      <c r="C13" s="248">
        <v>35.28</v>
      </c>
      <c r="D13" s="248">
        <v>10.29</v>
      </c>
      <c r="E13" s="248">
        <v>5.96</v>
      </c>
      <c r="F13" s="248">
        <v>24.81</v>
      </c>
      <c r="H13">
        <f t="shared" si="0"/>
        <v>152.46155999999999</v>
      </c>
      <c r="I13">
        <f t="shared" si="1"/>
        <v>12.34753254703141</v>
      </c>
      <c r="K13">
        <f t="shared" si="2"/>
        <v>62.773924999999984</v>
      </c>
      <c r="L13">
        <f t="shared" si="3"/>
        <v>7.9229997475703602</v>
      </c>
    </row>
    <row r="14" spans="1:12" x14ac:dyDescent="0.25">
      <c r="A14" t="s">
        <v>65</v>
      </c>
      <c r="B14" s="248">
        <v>24.34</v>
      </c>
      <c r="C14" s="248">
        <v>31.98</v>
      </c>
      <c r="D14" s="248">
        <v>12.38</v>
      </c>
      <c r="E14" s="248">
        <v>16.3</v>
      </c>
      <c r="F14" s="248">
        <v>15</v>
      </c>
      <c r="H14">
        <f t="shared" si="0"/>
        <v>57.520079999999993</v>
      </c>
      <c r="I14">
        <f t="shared" si="1"/>
        <v>7.5841993644682093</v>
      </c>
      <c r="K14">
        <f t="shared" si="2"/>
        <v>30.94009999999999</v>
      </c>
      <c r="L14">
        <f t="shared" si="3"/>
        <v>5.5623825830304039</v>
      </c>
    </row>
    <row r="15" spans="1:12" x14ac:dyDescent="0.25">
      <c r="A15" t="s">
        <v>66</v>
      </c>
      <c r="B15" s="248">
        <v>25.72</v>
      </c>
      <c r="C15" s="248">
        <v>31.32</v>
      </c>
      <c r="D15" s="248">
        <v>12.38</v>
      </c>
      <c r="E15" s="248">
        <v>16.22</v>
      </c>
      <c r="F15" s="248">
        <v>14.35</v>
      </c>
      <c r="H15">
        <f t="shared" si="0"/>
        <v>48.913219999999988</v>
      </c>
      <c r="I15">
        <f t="shared" si="1"/>
        <v>6.9937986816893716</v>
      </c>
      <c r="K15">
        <f t="shared" si="2"/>
        <v>24.235899999999997</v>
      </c>
      <c r="L15">
        <f t="shared" si="3"/>
        <v>4.9229970546405974</v>
      </c>
    </row>
    <row r="16" spans="1:12" x14ac:dyDescent="0.25">
      <c r="A16" s="245" t="s">
        <v>89</v>
      </c>
      <c r="B16" s="245">
        <v>34.93</v>
      </c>
      <c r="C16" s="245">
        <v>24.02</v>
      </c>
      <c r="D16" s="245">
        <v>15.77</v>
      </c>
      <c r="E16" s="245">
        <v>17.309999999999999</v>
      </c>
      <c r="F16" s="245">
        <v>7.98</v>
      </c>
      <c r="G16" s="245"/>
      <c r="H16" s="245">
        <f t="shared" si="0"/>
        <v>20.630540000000007</v>
      </c>
      <c r="I16" s="245">
        <f t="shared" si="1"/>
        <v>4.5420854241196311</v>
      </c>
      <c r="J16" s="245"/>
      <c r="K16" s="245">
        <f t="shared" si="2"/>
        <v>17.43607500000001</v>
      </c>
      <c r="L16" s="245">
        <f t="shared" si="3"/>
        <v>4.1756526435995616</v>
      </c>
    </row>
    <row r="17" spans="1:12" x14ac:dyDescent="0.25">
      <c r="A17" s="245" t="s">
        <v>90</v>
      </c>
      <c r="B17" s="245">
        <v>33.75</v>
      </c>
      <c r="C17" s="245">
        <v>27.35</v>
      </c>
      <c r="D17" s="245">
        <v>15.54</v>
      </c>
      <c r="E17" s="245">
        <v>16.46</v>
      </c>
      <c r="F17" s="245">
        <v>6.9</v>
      </c>
      <c r="G17" s="245"/>
      <c r="H17" s="245">
        <f t="shared" si="0"/>
        <v>9.5176400000000019</v>
      </c>
      <c r="I17" s="245">
        <f t="shared" si="1"/>
        <v>3.0850672602068179</v>
      </c>
      <c r="J17" s="245"/>
      <c r="K17" s="245">
        <f t="shared" si="2"/>
        <v>6.374550000000001</v>
      </c>
      <c r="L17" s="245">
        <f t="shared" si="3"/>
        <v>2.5247871197390088</v>
      </c>
    </row>
    <row r="18" spans="1:12" x14ac:dyDescent="0.25">
      <c r="A18" s="245" t="s">
        <v>91</v>
      </c>
      <c r="B18" s="245">
        <v>32.81</v>
      </c>
      <c r="C18" s="245">
        <v>25.68</v>
      </c>
      <c r="D18" s="245">
        <v>17.579999999999998</v>
      </c>
      <c r="E18" s="245">
        <v>16.649999999999999</v>
      </c>
      <c r="F18" s="245">
        <v>7.27</v>
      </c>
      <c r="G18" s="245"/>
      <c r="H18" s="245">
        <f t="shared" si="0"/>
        <v>15.385259999999999</v>
      </c>
      <c r="I18" s="245">
        <f t="shared" si="1"/>
        <v>3.9224048745635627</v>
      </c>
      <c r="J18" s="245"/>
      <c r="K18" s="245">
        <f t="shared" si="2"/>
        <v>12.805350000000001</v>
      </c>
      <c r="L18" s="245">
        <f t="shared" si="3"/>
        <v>3.5784563711186981</v>
      </c>
    </row>
    <row r="19" spans="1:12" x14ac:dyDescent="0.25">
      <c r="A19" s="245" t="s">
        <v>92</v>
      </c>
      <c r="B19" s="245">
        <v>31.14</v>
      </c>
      <c r="C19" s="245">
        <v>27.95</v>
      </c>
      <c r="D19" s="245">
        <v>15.46</v>
      </c>
      <c r="E19" s="245">
        <v>17.55</v>
      </c>
      <c r="F19" s="245">
        <v>7.9</v>
      </c>
      <c r="G19" s="245"/>
      <c r="H19" s="245">
        <f t="shared" si="0"/>
        <v>13.886040000000003</v>
      </c>
      <c r="I19" s="245">
        <f t="shared" si="1"/>
        <v>3.7263977243445181</v>
      </c>
      <c r="J19" s="245"/>
      <c r="K19" s="245">
        <f t="shared" si="2"/>
        <v>9.2350500000000029</v>
      </c>
      <c r="L19" s="245">
        <f t="shared" si="3"/>
        <v>3.0389225064157204</v>
      </c>
    </row>
    <row r="20" spans="1:12" x14ac:dyDescent="0.25">
      <c r="A20" s="245" t="s">
        <v>93</v>
      </c>
      <c r="B20" s="245">
        <v>36.520000000000003</v>
      </c>
      <c r="C20" s="245">
        <v>26.17</v>
      </c>
      <c r="D20" s="245">
        <v>13.59</v>
      </c>
      <c r="E20" s="245">
        <v>15.44</v>
      </c>
      <c r="F20" s="245">
        <v>8.27</v>
      </c>
      <c r="G20" s="245"/>
      <c r="H20" s="245">
        <f t="shared" si="0"/>
        <v>15.82878</v>
      </c>
      <c r="I20" s="245">
        <f t="shared" si="1"/>
        <v>3.9785399331915721</v>
      </c>
      <c r="J20" s="245"/>
      <c r="K20" s="245">
        <f t="shared" si="2"/>
        <v>10.574750000000003</v>
      </c>
      <c r="L20" s="245">
        <f t="shared" si="3"/>
        <v>3.2518840692743036</v>
      </c>
    </row>
    <row r="21" spans="1:12" x14ac:dyDescent="0.25">
      <c r="A21" s="21" t="s">
        <v>76</v>
      </c>
      <c r="B21" s="21"/>
      <c r="C21" s="21"/>
      <c r="D21" s="21"/>
      <c r="E21" s="21"/>
      <c r="F21" s="21"/>
      <c r="G21" s="21"/>
      <c r="H21" s="21" t="s">
        <v>72</v>
      </c>
      <c r="I21" s="21" t="s">
        <v>73</v>
      </c>
      <c r="J21" s="21"/>
      <c r="K21" s="21" t="s">
        <v>70</v>
      </c>
      <c r="L21" s="21" t="s">
        <v>71</v>
      </c>
    </row>
    <row r="22" spans="1:12" x14ac:dyDescent="0.25">
      <c r="A22" t="s">
        <v>80</v>
      </c>
      <c r="B22">
        <v>31.4</v>
      </c>
      <c r="C22">
        <v>26.04</v>
      </c>
      <c r="D22">
        <v>17.55</v>
      </c>
      <c r="E22">
        <v>16.850000000000001</v>
      </c>
      <c r="F22">
        <v>8.16</v>
      </c>
      <c r="H22">
        <f t="shared" ref="H22:H38" si="4">AVERAGE((B22-$B$2)^2,(C22-$C$2)^2,(D22-$D$2)^2,(E22-$E$2)^2,(F22-$F$2)^2)</f>
        <v>18.128040000000009</v>
      </c>
      <c r="I22">
        <f t="shared" ref="I22:I38" si="5">SQRT(H22)</f>
        <v>4.2577036064056886</v>
      </c>
      <c r="K22">
        <f>AVERAGE((B22-$B$2)^2,(C22-$C$2)^2,(D22-$D$2)^2,(E22-$E$2)^2)</f>
        <v>13.779650000000011</v>
      </c>
      <c r="L22">
        <f>SQRT(K22)</f>
        <v>3.7120950957646559</v>
      </c>
    </row>
    <row r="23" spans="1:12" x14ac:dyDescent="0.25">
      <c r="A23" t="s">
        <v>81</v>
      </c>
      <c r="B23">
        <v>34.32</v>
      </c>
      <c r="C23">
        <v>24.59</v>
      </c>
      <c r="D23">
        <v>13.09</v>
      </c>
      <c r="E23">
        <v>13.52</v>
      </c>
      <c r="F23">
        <v>14.49</v>
      </c>
      <c r="H23">
        <f t="shared" si="4"/>
        <v>43.483019999999996</v>
      </c>
      <c r="I23">
        <f t="shared" si="5"/>
        <v>6.594165603016048</v>
      </c>
      <c r="K23">
        <f>AVERAGE((B23-$B$2)^2,(C23-$C$2)^2,(D23-$D$2)^2,(E23-$E$2)^2)</f>
        <v>16.592750000000006</v>
      </c>
      <c r="L23">
        <f>SQRT(K23)</f>
        <v>4.0734199390683994</v>
      </c>
    </row>
    <row r="24" spans="1:12" x14ac:dyDescent="0.25">
      <c r="A24" t="s">
        <v>82</v>
      </c>
      <c r="B24">
        <v>22.39</v>
      </c>
      <c r="C24">
        <v>34.299999999999997</v>
      </c>
      <c r="D24">
        <v>10.81</v>
      </c>
      <c r="E24">
        <v>9.6199999999999992</v>
      </c>
      <c r="F24">
        <v>22.87</v>
      </c>
      <c r="H24">
        <f t="shared" si="4"/>
        <v>128.72749999999999</v>
      </c>
      <c r="I24">
        <f t="shared" si="5"/>
        <v>11.345814206129059</v>
      </c>
      <c r="K24">
        <f t="shared" ref="K24:K38" si="6">AVERAGE((B24-$B$2)^2,(C24-$C$2)^2,(D24-$D$2)^2,(E24-$E$2)^2)</f>
        <v>54.097149999999978</v>
      </c>
      <c r="L24">
        <f t="shared" ref="L24:L38" si="7">SQRT(K24)</f>
        <v>7.35507647818838</v>
      </c>
    </row>
    <row r="25" spans="1:12" x14ac:dyDescent="0.25">
      <c r="A25" t="s">
        <v>83</v>
      </c>
      <c r="B25">
        <v>22.97</v>
      </c>
      <c r="C25">
        <v>34.65</v>
      </c>
      <c r="D25">
        <v>11.17</v>
      </c>
      <c r="E25">
        <v>9.5500000000000007</v>
      </c>
      <c r="F25">
        <v>21.65</v>
      </c>
      <c r="H25">
        <f t="shared" si="4"/>
        <v>115.91465999999998</v>
      </c>
      <c r="I25">
        <f t="shared" si="5"/>
        <v>10.766367075295175</v>
      </c>
      <c r="K25">
        <f t="shared" si="6"/>
        <v>50.317699999999988</v>
      </c>
      <c r="L25">
        <f t="shared" si="7"/>
        <v>7.0934970219208511</v>
      </c>
    </row>
    <row r="26" spans="1:12" x14ac:dyDescent="0.25">
      <c r="A26" t="s">
        <v>94</v>
      </c>
      <c r="B26">
        <v>28.82</v>
      </c>
      <c r="C26">
        <v>27.44</v>
      </c>
      <c r="D26">
        <v>11.58</v>
      </c>
      <c r="E26">
        <v>18.28</v>
      </c>
      <c r="F26">
        <v>13.88</v>
      </c>
      <c r="H26">
        <f t="shared" si="4"/>
        <v>44.313039999999994</v>
      </c>
      <c r="I26">
        <f t="shared" si="5"/>
        <v>6.6568040379749798</v>
      </c>
      <c r="K26">
        <f t="shared" si="6"/>
        <v>21.285699999999999</v>
      </c>
      <c r="L26">
        <f t="shared" si="7"/>
        <v>4.6136428123555469</v>
      </c>
    </row>
    <row r="27" spans="1:12" x14ac:dyDescent="0.25">
      <c r="A27" t="s">
        <v>85</v>
      </c>
      <c r="B27">
        <v>32.24</v>
      </c>
      <c r="C27">
        <v>25.41</v>
      </c>
      <c r="D27">
        <v>17.47</v>
      </c>
      <c r="E27">
        <v>16.77</v>
      </c>
      <c r="F27">
        <v>8.11</v>
      </c>
      <c r="H27">
        <f t="shared" si="4"/>
        <v>18.471519999999998</v>
      </c>
      <c r="I27">
        <f t="shared" si="5"/>
        <v>4.2978506256034539</v>
      </c>
      <c r="K27">
        <f t="shared" si="6"/>
        <v>14.357374999999999</v>
      </c>
      <c r="L27">
        <f t="shared" si="7"/>
        <v>3.7891126929665209</v>
      </c>
    </row>
    <row r="28" spans="1:12" x14ac:dyDescent="0.25">
      <c r="A28" t="s">
        <v>64</v>
      </c>
      <c r="B28">
        <v>32.619999999999997</v>
      </c>
      <c r="C28">
        <v>25.39</v>
      </c>
      <c r="D28">
        <v>17.52</v>
      </c>
      <c r="E28">
        <v>16.149999999999999</v>
      </c>
      <c r="F28">
        <v>8.32</v>
      </c>
      <c r="H28">
        <f t="shared" si="4"/>
        <v>18.378360000000004</v>
      </c>
      <c r="I28">
        <f t="shared" si="5"/>
        <v>4.2869989503147776</v>
      </c>
      <c r="K28">
        <f t="shared" si="6"/>
        <v>13.609350000000004</v>
      </c>
      <c r="L28">
        <f t="shared" si="7"/>
        <v>3.6890852524711333</v>
      </c>
    </row>
    <row r="29" spans="1:12" x14ac:dyDescent="0.25">
      <c r="A29" t="s">
        <v>86</v>
      </c>
      <c r="B29">
        <v>33.700000000000003</v>
      </c>
      <c r="C29">
        <v>24.8</v>
      </c>
      <c r="D29">
        <v>17.809999999999999</v>
      </c>
      <c r="E29">
        <v>15.93</v>
      </c>
      <c r="F29">
        <v>7.75</v>
      </c>
      <c r="H29">
        <f t="shared" si="4"/>
        <v>18.1035</v>
      </c>
      <c r="I29">
        <f t="shared" si="5"/>
        <v>4.2548207952862125</v>
      </c>
      <c r="K29">
        <f t="shared" si="6"/>
        <v>14.928750000000001</v>
      </c>
      <c r="L29">
        <f t="shared" si="7"/>
        <v>3.8637740617173777</v>
      </c>
    </row>
    <row r="30" spans="1:12" x14ac:dyDescent="0.25">
      <c r="A30" t="s">
        <v>87</v>
      </c>
      <c r="B30">
        <v>25.01</v>
      </c>
      <c r="C30">
        <v>33.93</v>
      </c>
      <c r="D30">
        <v>11.32</v>
      </c>
      <c r="E30">
        <v>5.61</v>
      </c>
      <c r="F30">
        <v>24.13</v>
      </c>
      <c r="H30">
        <f t="shared" si="4"/>
        <v>138.64767999999998</v>
      </c>
      <c r="I30">
        <f t="shared" si="5"/>
        <v>11.774874946257391</v>
      </c>
      <c r="K30">
        <f t="shared" si="6"/>
        <v>53.07837499999998</v>
      </c>
      <c r="L30">
        <f t="shared" si="7"/>
        <v>7.2854907178583366</v>
      </c>
    </row>
    <row r="31" spans="1:12" x14ac:dyDescent="0.25">
      <c r="A31" t="s">
        <v>88</v>
      </c>
      <c r="B31">
        <v>23.48</v>
      </c>
      <c r="C31">
        <v>35.380000000000003</v>
      </c>
      <c r="D31">
        <v>10.23</v>
      </c>
      <c r="E31">
        <v>6.21</v>
      </c>
      <c r="F31">
        <v>24.73</v>
      </c>
      <c r="H31">
        <f t="shared" si="4"/>
        <v>151.90333999999999</v>
      </c>
      <c r="I31">
        <f t="shared" si="5"/>
        <v>12.324907301882639</v>
      </c>
      <c r="K31">
        <f t="shared" si="6"/>
        <v>62.978949999999976</v>
      </c>
      <c r="L31">
        <f t="shared" si="7"/>
        <v>7.9359277970505744</v>
      </c>
    </row>
    <row r="32" spans="1:12" x14ac:dyDescent="0.25">
      <c r="A32" t="s">
        <v>65</v>
      </c>
      <c r="B32">
        <v>24.41</v>
      </c>
      <c r="C32">
        <v>31.43</v>
      </c>
      <c r="D32">
        <v>12.3</v>
      </c>
      <c r="E32">
        <v>16.649999999999999</v>
      </c>
      <c r="F32">
        <v>15.21</v>
      </c>
      <c r="H32">
        <f t="shared" si="4"/>
        <v>58.682320000000004</v>
      </c>
      <c r="I32">
        <f t="shared" si="5"/>
        <v>7.6604386297391613</v>
      </c>
      <c r="K32">
        <f t="shared" si="6"/>
        <v>31.037874999999989</v>
      </c>
      <c r="L32">
        <f t="shared" si="7"/>
        <v>5.571164599973689</v>
      </c>
    </row>
    <row r="33" spans="1:12" x14ac:dyDescent="0.25">
      <c r="A33" t="s">
        <v>66</v>
      </c>
      <c r="B33">
        <v>25.18</v>
      </c>
      <c r="C33">
        <v>31.32</v>
      </c>
      <c r="D33">
        <v>12.15</v>
      </c>
      <c r="E33">
        <v>16.77</v>
      </c>
      <c r="F33">
        <v>14.58</v>
      </c>
      <c r="H33">
        <f t="shared" si="4"/>
        <v>52.683719999999994</v>
      </c>
      <c r="I33">
        <f t="shared" si="5"/>
        <v>7.2583551855775141</v>
      </c>
      <c r="K33">
        <f t="shared" si="6"/>
        <v>27.538549999999994</v>
      </c>
      <c r="L33">
        <f t="shared" si="7"/>
        <v>5.2477185519042457</v>
      </c>
    </row>
    <row r="34" spans="1:12" x14ac:dyDescent="0.25">
      <c r="A34" s="245" t="s">
        <v>89</v>
      </c>
      <c r="B34" s="245">
        <v>35.270000000000003</v>
      </c>
      <c r="C34" s="245">
        <v>24.24</v>
      </c>
      <c r="D34" s="245">
        <v>15.97</v>
      </c>
      <c r="E34" s="245">
        <v>16.68</v>
      </c>
      <c r="F34" s="245">
        <v>7.84</v>
      </c>
      <c r="G34" s="245"/>
      <c r="H34" s="245">
        <f t="shared" si="4"/>
        <v>19.197880000000008</v>
      </c>
      <c r="I34" s="245">
        <f t="shared" si="5"/>
        <v>4.3815385425669842</v>
      </c>
      <c r="J34" s="245"/>
      <c r="K34" s="245">
        <f t="shared" si="6"/>
        <v>16.044950000000014</v>
      </c>
      <c r="L34" s="245">
        <f t="shared" si="7"/>
        <v>4.0056148092396517</v>
      </c>
    </row>
    <row r="35" spans="1:12" x14ac:dyDescent="0.25">
      <c r="A35" s="245" t="s">
        <v>90</v>
      </c>
      <c r="B35" s="245">
        <v>34.29</v>
      </c>
      <c r="C35" s="245">
        <v>27.19</v>
      </c>
      <c r="D35" s="245">
        <v>15.56</v>
      </c>
      <c r="E35" s="245">
        <v>16.100000000000001</v>
      </c>
      <c r="F35" s="245">
        <v>6.86</v>
      </c>
      <c r="G35" s="245"/>
      <c r="H35" s="245">
        <f t="shared" si="4"/>
        <v>9.4050800000000017</v>
      </c>
      <c r="I35" s="245">
        <f t="shared" si="5"/>
        <v>3.0667702881044092</v>
      </c>
      <c r="J35" s="245"/>
      <c r="K35" s="245">
        <f t="shared" si="6"/>
        <v>6.3274500000000007</v>
      </c>
      <c r="L35" s="245">
        <f t="shared" si="7"/>
        <v>2.5154423070307139</v>
      </c>
    </row>
    <row r="36" spans="1:12" x14ac:dyDescent="0.25">
      <c r="A36" s="245" t="s">
        <v>91</v>
      </c>
      <c r="B36" s="245">
        <v>32.659999999999997</v>
      </c>
      <c r="C36" s="245">
        <v>25.81</v>
      </c>
      <c r="D36" s="245">
        <v>17.55</v>
      </c>
      <c r="E36" s="245">
        <v>16.73</v>
      </c>
      <c r="F36" s="245">
        <v>7.26</v>
      </c>
      <c r="G36" s="245"/>
      <c r="H36" s="245">
        <f t="shared" si="4"/>
        <v>15.189740000000009</v>
      </c>
      <c r="I36" s="245">
        <f t="shared" si="5"/>
        <v>3.8974016985679074</v>
      </c>
      <c r="J36" s="245"/>
      <c r="K36" s="245">
        <f t="shared" si="6"/>
        <v>12.586275000000013</v>
      </c>
      <c r="L36" s="245">
        <f t="shared" si="7"/>
        <v>3.5477140527387507</v>
      </c>
    </row>
    <row r="37" spans="1:12" x14ac:dyDescent="0.25">
      <c r="A37" s="245" t="s">
        <v>92</v>
      </c>
      <c r="B37" s="245">
        <v>30.97</v>
      </c>
      <c r="C37" s="245">
        <v>28.13</v>
      </c>
      <c r="D37" s="245">
        <v>15.48</v>
      </c>
      <c r="E37" s="245">
        <v>17.54</v>
      </c>
      <c r="F37" s="245">
        <v>7.88</v>
      </c>
      <c r="G37" s="245"/>
      <c r="H37" s="245">
        <f t="shared" si="4"/>
        <v>13.798440000000005</v>
      </c>
      <c r="I37" s="245">
        <f t="shared" si="5"/>
        <v>3.7146251493252995</v>
      </c>
      <c r="J37" s="245"/>
      <c r="K37" s="245">
        <f t="shared" si="6"/>
        <v>9.1824500000000047</v>
      </c>
      <c r="L37" s="245">
        <f t="shared" si="7"/>
        <v>3.0302557647829009</v>
      </c>
    </row>
    <row r="38" spans="1:12" x14ac:dyDescent="0.25">
      <c r="A38" s="245" t="s">
        <v>93</v>
      </c>
      <c r="B38" s="245">
        <v>36.82</v>
      </c>
      <c r="C38" s="245">
        <v>26.02</v>
      </c>
      <c r="D38" s="245">
        <v>13.68</v>
      </c>
      <c r="E38" s="245">
        <v>15.3</v>
      </c>
      <c r="F38" s="245">
        <v>8.19</v>
      </c>
      <c r="G38" s="245"/>
      <c r="H38" s="245">
        <f t="shared" si="4"/>
        <v>16.124660000000002</v>
      </c>
      <c r="I38" s="245">
        <f t="shared" si="5"/>
        <v>4.0155522658782568</v>
      </c>
      <c r="J38" s="245"/>
      <c r="K38" s="245">
        <f t="shared" si="6"/>
        <v>11.185800000000006</v>
      </c>
      <c r="L38" s="245">
        <f t="shared" si="7"/>
        <v>3.3445179024786227</v>
      </c>
    </row>
    <row r="39" spans="1:12" x14ac:dyDescent="0.25">
      <c r="A39" s="21" t="s">
        <v>77</v>
      </c>
      <c r="B39" s="21"/>
      <c r="C39" s="21"/>
      <c r="D39" s="21"/>
      <c r="E39" s="21"/>
      <c r="F39" s="21"/>
      <c r="G39" s="21"/>
      <c r="H39" s="21" t="s">
        <v>72</v>
      </c>
      <c r="I39" s="21" t="s">
        <v>73</v>
      </c>
      <c r="J39" s="21"/>
      <c r="K39" s="21" t="s">
        <v>70</v>
      </c>
      <c r="L39" s="21" t="s">
        <v>71</v>
      </c>
    </row>
    <row r="40" spans="1:12" x14ac:dyDescent="0.25">
      <c r="A40" t="s">
        <v>80</v>
      </c>
      <c r="B40">
        <v>31.35</v>
      </c>
      <c r="C40">
        <v>26.05</v>
      </c>
      <c r="D40">
        <v>17.55</v>
      </c>
      <c r="E40">
        <v>16.91</v>
      </c>
      <c r="F40">
        <v>8.1300000000000008</v>
      </c>
      <c r="H40">
        <f t="shared" ref="H40:H56" si="8">AVERAGE((B40-$B$2)^2,(C40-$C$2)^2,(D40-$D$2)^2,(E40-$E$2)^2,(F40-$F$2)^2)</f>
        <v>18.1433</v>
      </c>
      <c r="I40">
        <f t="shared" ref="I40:I56" si="9">SQRT(H40)</f>
        <v>4.2594952752644302</v>
      </c>
      <c r="K40">
        <f>AVERAGE((B40-$B$2)^2,(C40-$C$2)^2,(D40-$D$2)^2,(E40-$E$2)^2)</f>
        <v>13.887899999999998</v>
      </c>
      <c r="L40">
        <f>SQRT(K40)</f>
        <v>3.7266472867713141</v>
      </c>
    </row>
    <row r="41" spans="1:12" x14ac:dyDescent="0.25">
      <c r="A41" t="s">
        <v>81</v>
      </c>
      <c r="B41">
        <v>34.46</v>
      </c>
      <c r="C41">
        <v>24.56</v>
      </c>
      <c r="D41">
        <v>13.35</v>
      </c>
      <c r="E41">
        <v>13.47</v>
      </c>
      <c r="F41">
        <v>14.16</v>
      </c>
      <c r="H41">
        <f t="shared" si="8"/>
        <v>41.720440000000011</v>
      </c>
      <c r="I41">
        <f t="shared" si="9"/>
        <v>6.4591361651539758</v>
      </c>
      <c r="K41">
        <f>AVERAGE((B41-$B$2)^2,(C41-$C$2)^2,(D41-$D$2)^2,(E41-$E$2)^2)</f>
        <v>16.390150000000009</v>
      </c>
      <c r="L41">
        <f>SQRT(K41)</f>
        <v>4.0484750215358885</v>
      </c>
    </row>
    <row r="42" spans="1:12" x14ac:dyDescent="0.25">
      <c r="A42" t="s">
        <v>82</v>
      </c>
      <c r="B42">
        <v>22.66</v>
      </c>
      <c r="C42">
        <v>34.28</v>
      </c>
      <c r="D42">
        <v>10.96</v>
      </c>
      <c r="E42">
        <v>9.65</v>
      </c>
      <c r="F42">
        <v>22.44</v>
      </c>
      <c r="H42">
        <f t="shared" si="8"/>
        <v>123.49954</v>
      </c>
      <c r="I42">
        <f t="shared" si="9"/>
        <v>11.113034689048712</v>
      </c>
      <c r="K42">
        <f t="shared" ref="K42:K56" si="10">AVERAGE((B42-$B$2)^2,(C42-$C$2)^2,(D42-$D$2)^2,(E42-$E$2)^2)</f>
        <v>51.96002499999998</v>
      </c>
      <c r="L42">
        <f t="shared" ref="L42:L56" si="11">SQRT(K42)</f>
        <v>7.2083302504810352</v>
      </c>
    </row>
    <row r="43" spans="1:12" x14ac:dyDescent="0.25">
      <c r="A43" t="s">
        <v>83</v>
      </c>
      <c r="B43">
        <v>23.2</v>
      </c>
      <c r="C43">
        <v>34.24</v>
      </c>
      <c r="D43">
        <v>11.1</v>
      </c>
      <c r="E43">
        <v>9.7100000000000009</v>
      </c>
      <c r="F43">
        <v>21.75</v>
      </c>
      <c r="H43">
        <f t="shared" si="8"/>
        <v>114.99444000000001</v>
      </c>
      <c r="I43">
        <f t="shared" si="9"/>
        <v>10.723546055293465</v>
      </c>
      <c r="K43">
        <f t="shared" si="10"/>
        <v>48.192424999999993</v>
      </c>
      <c r="L43">
        <f t="shared" si="11"/>
        <v>6.9420764184788393</v>
      </c>
    </row>
    <row r="44" spans="1:12" x14ac:dyDescent="0.25">
      <c r="A44" t="s">
        <v>84</v>
      </c>
      <c r="B44">
        <v>28.94</v>
      </c>
      <c r="C44">
        <v>27.54</v>
      </c>
      <c r="D44">
        <v>11.86</v>
      </c>
      <c r="E44">
        <v>18.100000000000001</v>
      </c>
      <c r="F44">
        <v>13.57</v>
      </c>
      <c r="H44">
        <f t="shared" si="8"/>
        <v>41.749540000000003</v>
      </c>
      <c r="I44">
        <f t="shared" si="9"/>
        <v>6.4613883956932971</v>
      </c>
      <c r="K44">
        <f t="shared" si="10"/>
        <v>19.867699999999999</v>
      </c>
      <c r="L44">
        <f t="shared" si="11"/>
        <v>4.457319822494231</v>
      </c>
    </row>
    <row r="45" spans="1:12" x14ac:dyDescent="0.25">
      <c r="A45" t="s">
        <v>85</v>
      </c>
      <c r="B45">
        <v>32.299999999999997</v>
      </c>
      <c r="C45">
        <v>25.39</v>
      </c>
      <c r="D45">
        <v>17.46</v>
      </c>
      <c r="E45">
        <v>16.73</v>
      </c>
      <c r="F45">
        <v>8.1199999999999992</v>
      </c>
      <c r="H45">
        <f t="shared" si="8"/>
        <v>18.453800000000005</v>
      </c>
      <c r="I45">
        <f t="shared" si="9"/>
        <v>4.2957886353963</v>
      </c>
      <c r="K45">
        <f t="shared" si="10"/>
        <v>14.305650000000007</v>
      </c>
      <c r="L45">
        <f t="shared" si="11"/>
        <v>3.7822810577745285</v>
      </c>
    </row>
    <row r="46" spans="1:12" x14ac:dyDescent="0.25">
      <c r="A46" t="s">
        <v>64</v>
      </c>
      <c r="B46">
        <v>32.71</v>
      </c>
      <c r="C46">
        <v>25.3</v>
      </c>
      <c r="D46">
        <v>17.579999999999998</v>
      </c>
      <c r="E46">
        <v>16.05</v>
      </c>
      <c r="F46">
        <v>8.36</v>
      </c>
      <c r="H46">
        <f t="shared" si="8"/>
        <v>18.64772</v>
      </c>
      <c r="I46">
        <f t="shared" si="9"/>
        <v>4.3183005916679766</v>
      </c>
      <c r="K46">
        <f t="shared" si="10"/>
        <v>13.82325</v>
      </c>
      <c r="L46">
        <f t="shared" si="11"/>
        <v>3.7179631520497884</v>
      </c>
    </row>
    <row r="47" spans="1:12" x14ac:dyDescent="0.25">
      <c r="A47" t="s">
        <v>86</v>
      </c>
      <c r="B47">
        <v>33.799999999999997</v>
      </c>
      <c r="C47">
        <v>24.67</v>
      </c>
      <c r="D47">
        <v>17.87</v>
      </c>
      <c r="E47">
        <v>15.95</v>
      </c>
      <c r="F47">
        <v>7.71</v>
      </c>
      <c r="H47">
        <f t="shared" si="8"/>
        <v>18.409280000000003</v>
      </c>
      <c r="I47">
        <f t="shared" si="9"/>
        <v>4.2906036871284208</v>
      </c>
      <c r="K47">
        <f t="shared" si="10"/>
        <v>15.421575000000001</v>
      </c>
      <c r="L47">
        <f t="shared" si="11"/>
        <v>3.9270313214946477</v>
      </c>
    </row>
    <row r="48" spans="1:12" x14ac:dyDescent="0.25">
      <c r="A48" t="s">
        <v>87</v>
      </c>
      <c r="B48">
        <v>25.33</v>
      </c>
      <c r="C48">
        <v>33.92</v>
      </c>
      <c r="D48">
        <v>11.29</v>
      </c>
      <c r="E48">
        <v>5.75</v>
      </c>
      <c r="F48">
        <v>23.71</v>
      </c>
      <c r="H48">
        <f t="shared" si="8"/>
        <v>133.26560000000001</v>
      </c>
      <c r="I48">
        <f t="shared" si="9"/>
        <v>11.544072071847092</v>
      </c>
      <c r="K48">
        <f t="shared" si="10"/>
        <v>50.911974999999998</v>
      </c>
      <c r="L48">
        <f t="shared" si="11"/>
        <v>7.1352627842287628</v>
      </c>
    </row>
    <row r="49" spans="1:12" x14ac:dyDescent="0.25">
      <c r="A49" t="s">
        <v>88</v>
      </c>
      <c r="B49">
        <v>24.09</v>
      </c>
      <c r="C49">
        <v>34.770000000000003</v>
      </c>
      <c r="D49">
        <v>10.59</v>
      </c>
      <c r="E49">
        <v>6.14</v>
      </c>
      <c r="F49">
        <v>24.41</v>
      </c>
      <c r="H49">
        <f t="shared" si="8"/>
        <v>145.09296000000001</v>
      </c>
      <c r="I49">
        <f t="shared" si="9"/>
        <v>12.04545391423669</v>
      </c>
      <c r="K49">
        <f t="shared" si="10"/>
        <v>58.045174999999986</v>
      </c>
      <c r="L49">
        <f t="shared" si="11"/>
        <v>7.6187384126244933</v>
      </c>
    </row>
    <row r="50" spans="1:12" x14ac:dyDescent="0.25">
      <c r="A50" t="s">
        <v>65</v>
      </c>
      <c r="B50">
        <v>24.55</v>
      </c>
      <c r="C50">
        <v>31.99</v>
      </c>
      <c r="D50">
        <v>12.5</v>
      </c>
      <c r="E50">
        <v>15.8</v>
      </c>
      <c r="F50">
        <v>15.16</v>
      </c>
      <c r="H50">
        <f t="shared" si="8"/>
        <v>57.139239999999994</v>
      </c>
      <c r="I50">
        <f t="shared" si="9"/>
        <v>7.5590502048868542</v>
      </c>
      <c r="K50">
        <f t="shared" si="10"/>
        <v>29.433649999999989</v>
      </c>
      <c r="L50">
        <f t="shared" si="11"/>
        <v>5.4252787946795866</v>
      </c>
    </row>
    <row r="51" spans="1:12" x14ac:dyDescent="0.25">
      <c r="A51" t="s">
        <v>66</v>
      </c>
      <c r="B51">
        <v>26.11</v>
      </c>
      <c r="C51">
        <v>31.18</v>
      </c>
      <c r="D51">
        <v>12.53</v>
      </c>
      <c r="E51">
        <v>15.56</v>
      </c>
      <c r="F51">
        <v>14.63</v>
      </c>
      <c r="H51">
        <f t="shared" si="8"/>
        <v>48.558779999999999</v>
      </c>
      <c r="I51">
        <f t="shared" si="9"/>
        <v>6.9684130187582882</v>
      </c>
      <c r="K51">
        <f t="shared" si="10"/>
        <v>22.072249999999997</v>
      </c>
      <c r="L51">
        <f t="shared" si="11"/>
        <v>4.6981113226487086</v>
      </c>
    </row>
    <row r="52" spans="1:12" x14ac:dyDescent="0.25">
      <c r="A52" s="245" t="s">
        <v>89</v>
      </c>
      <c r="B52" s="245">
        <v>34.49</v>
      </c>
      <c r="C52" s="245">
        <v>24.05</v>
      </c>
      <c r="D52" s="245">
        <v>15.74</v>
      </c>
      <c r="E52" s="245">
        <v>17.649999999999999</v>
      </c>
      <c r="F52" s="245">
        <v>8.06</v>
      </c>
      <c r="G52" s="245"/>
      <c r="H52" s="245">
        <f t="shared" si="8"/>
        <v>21.062860000000001</v>
      </c>
      <c r="I52" s="245">
        <f t="shared" si="9"/>
        <v>4.5894291584030364</v>
      </c>
      <c r="J52" s="245"/>
      <c r="K52" s="245">
        <f t="shared" si="10"/>
        <v>17.743675</v>
      </c>
      <c r="L52" s="245">
        <f t="shared" si="11"/>
        <v>4.2123241803071139</v>
      </c>
    </row>
    <row r="53" spans="1:12" x14ac:dyDescent="0.25">
      <c r="A53" s="245" t="s">
        <v>90</v>
      </c>
      <c r="B53" s="245">
        <v>33.770000000000003</v>
      </c>
      <c r="C53" s="245">
        <v>27.37</v>
      </c>
      <c r="D53" s="245">
        <v>15.46</v>
      </c>
      <c r="E53" s="245">
        <v>16.579999999999998</v>
      </c>
      <c r="F53" s="245">
        <v>6.82</v>
      </c>
      <c r="G53" s="245"/>
      <c r="H53" s="245">
        <f t="shared" si="8"/>
        <v>9.3912399999999998</v>
      </c>
      <c r="I53" s="245">
        <f t="shared" si="9"/>
        <v>3.0645130118829647</v>
      </c>
      <c r="J53" s="245"/>
      <c r="K53" s="245">
        <f t="shared" si="10"/>
        <v>6.4029499999999988</v>
      </c>
      <c r="L53" s="245">
        <f t="shared" si="11"/>
        <v>2.530405105906957</v>
      </c>
    </row>
    <row r="54" spans="1:12" x14ac:dyDescent="0.25">
      <c r="A54" s="245" t="s">
        <v>91</v>
      </c>
      <c r="B54" s="245">
        <v>33.119999999999997</v>
      </c>
      <c r="C54" s="245">
        <v>25.72</v>
      </c>
      <c r="D54" s="245">
        <v>17.670000000000002</v>
      </c>
      <c r="E54" s="245">
        <v>16.37</v>
      </c>
      <c r="F54" s="245">
        <v>7.12</v>
      </c>
      <c r="G54" s="245"/>
      <c r="H54" s="245">
        <f t="shared" si="8"/>
        <v>14.66580000000001</v>
      </c>
      <c r="I54" s="245">
        <f t="shared" si="9"/>
        <v>3.8295952788773922</v>
      </c>
      <c r="J54" s="245"/>
      <c r="K54" s="245">
        <f t="shared" si="10"/>
        <v>12.280650000000014</v>
      </c>
      <c r="L54" s="245">
        <f t="shared" si="11"/>
        <v>3.5043758360084629</v>
      </c>
    </row>
    <row r="55" spans="1:12" x14ac:dyDescent="0.25">
      <c r="A55" s="245" t="s">
        <v>92</v>
      </c>
      <c r="B55" s="245">
        <v>31.28</v>
      </c>
      <c r="C55" s="245">
        <v>27.73</v>
      </c>
      <c r="D55" s="245">
        <v>15.44</v>
      </c>
      <c r="E55" s="245">
        <v>17.760000000000002</v>
      </c>
      <c r="F55" s="245">
        <v>7.79</v>
      </c>
      <c r="G55" s="245"/>
      <c r="H55" s="245">
        <f t="shared" si="8"/>
        <v>14.01412</v>
      </c>
      <c r="I55" s="245">
        <f t="shared" si="9"/>
        <v>3.7435437756222378</v>
      </c>
      <c r="J55" s="245"/>
      <c r="K55" s="245">
        <f t="shared" si="10"/>
        <v>9.7056249999999995</v>
      </c>
      <c r="L55" s="245">
        <f t="shared" si="11"/>
        <v>3.1153852089268188</v>
      </c>
    </row>
    <row r="56" spans="1:12" x14ac:dyDescent="0.25">
      <c r="A56" s="245" t="s">
        <v>93</v>
      </c>
      <c r="B56" s="245">
        <v>37.770000000000003</v>
      </c>
      <c r="C56" s="245">
        <v>25.83</v>
      </c>
      <c r="D56" s="245">
        <v>13.99</v>
      </c>
      <c r="E56" s="245">
        <v>14.38</v>
      </c>
      <c r="F56" s="245">
        <v>8.0299999999999994</v>
      </c>
      <c r="G56" s="245"/>
      <c r="H56" s="245">
        <f t="shared" si="8"/>
        <v>17.02704000000001</v>
      </c>
      <c r="I56" s="245">
        <f t="shared" si="9"/>
        <v>4.1263834043869467</v>
      </c>
      <c r="J56" s="245"/>
      <c r="K56" s="245">
        <f t="shared" si="10"/>
        <v>12.786575000000015</v>
      </c>
      <c r="L56" s="245">
        <f t="shared" si="11"/>
        <v>3.5758320710010998</v>
      </c>
    </row>
    <row r="57" spans="1:12" x14ac:dyDescent="0.25">
      <c r="A57" s="21" t="s">
        <v>78</v>
      </c>
      <c r="B57" s="21"/>
      <c r="C57" s="21"/>
      <c r="D57" s="21"/>
      <c r="E57" s="21"/>
      <c r="F57" s="21"/>
      <c r="G57" s="21"/>
      <c r="H57" s="21" t="s">
        <v>72</v>
      </c>
      <c r="I57" s="21" t="s">
        <v>73</v>
      </c>
      <c r="J57" s="21"/>
      <c r="K57" s="21" t="s">
        <v>70</v>
      </c>
      <c r="L57" s="21" t="s">
        <v>71</v>
      </c>
    </row>
    <row r="58" spans="1:12" x14ac:dyDescent="0.25">
      <c r="A58" t="s">
        <v>80</v>
      </c>
      <c r="B58">
        <v>31.33</v>
      </c>
      <c r="C58">
        <v>26.03</v>
      </c>
      <c r="D58">
        <v>17.54</v>
      </c>
      <c r="E58">
        <v>16.940000000000001</v>
      </c>
      <c r="F58">
        <v>8.16</v>
      </c>
      <c r="H58">
        <f t="shared" ref="H58:H74" si="12">AVERAGE((B58-$B$2)^2,(C58-$C$2)^2,(D58-$D$2)^2,(E58-$E$2)^2,(F58-$F$2)^2)</f>
        <v>18.304920000000003</v>
      </c>
      <c r="I58">
        <f t="shared" ref="I58:I74" si="13">SQRT(H58)</f>
        <v>4.27842494383155</v>
      </c>
      <c r="K58">
        <f>AVERAGE((B58-$B$2)^2,(C58-$C$2)^2,(D58-$D$2)^2,(E58-$E$2)^2)</f>
        <v>14.000750000000002</v>
      </c>
      <c r="L58">
        <f>SQRT(K58)</f>
        <v>3.7417576083974229</v>
      </c>
    </row>
    <row r="59" spans="1:12" x14ac:dyDescent="0.25">
      <c r="A59" t="s">
        <v>81</v>
      </c>
      <c r="B59">
        <v>34.450000000000003</v>
      </c>
      <c r="C59">
        <v>24.45</v>
      </c>
      <c r="D59">
        <v>13.2</v>
      </c>
      <c r="E59">
        <v>13.66</v>
      </c>
      <c r="F59">
        <v>14.24</v>
      </c>
      <c r="H59">
        <f t="shared" si="12"/>
        <v>42.461640000000003</v>
      </c>
      <c r="I59">
        <f t="shared" si="13"/>
        <v>6.5162596633344814</v>
      </c>
      <c r="K59">
        <f t="shared" ref="K59:K74" si="14">AVERAGE((B59-$B$2)^2,(C59-$C$2)^2,(D59-$D$2)^2,(E59-$E$2)^2)</f>
        <v>16.836650000000006</v>
      </c>
      <c r="L59">
        <f t="shared" ref="L59:L74" si="15">SQRT(K59)</f>
        <v>4.1032487129102968</v>
      </c>
    </row>
    <row r="60" spans="1:12" x14ac:dyDescent="0.25">
      <c r="A60" t="s">
        <v>82</v>
      </c>
      <c r="B60">
        <v>22.5</v>
      </c>
      <c r="C60">
        <v>34.51</v>
      </c>
      <c r="D60">
        <v>10.9</v>
      </c>
      <c r="E60">
        <v>9.4</v>
      </c>
      <c r="F60">
        <v>22.7</v>
      </c>
      <c r="H60">
        <f t="shared" si="12"/>
        <v>127.29961999999998</v>
      </c>
      <c r="I60">
        <f t="shared" si="13"/>
        <v>11.282713326146331</v>
      </c>
      <c r="K60">
        <f t="shared" si="14"/>
        <v>54.062024999999984</v>
      </c>
      <c r="L60">
        <f t="shared" si="15"/>
        <v>7.3526882838863763</v>
      </c>
    </row>
    <row r="61" spans="1:12" x14ac:dyDescent="0.25">
      <c r="A61" t="s">
        <v>83</v>
      </c>
      <c r="B61">
        <v>22.97</v>
      </c>
      <c r="C61">
        <v>34.619999999999997</v>
      </c>
      <c r="D61">
        <v>11.13</v>
      </c>
      <c r="E61">
        <v>9.5399999999999991</v>
      </c>
      <c r="F61">
        <v>21.74</v>
      </c>
      <c r="H61">
        <f t="shared" si="12"/>
        <v>116.68147999999997</v>
      </c>
      <c r="I61">
        <f t="shared" si="13"/>
        <v>10.801920199668203</v>
      </c>
      <c r="K61">
        <f t="shared" si="14"/>
        <v>50.398949999999985</v>
      </c>
      <c r="L61">
        <f t="shared" si="15"/>
        <v>7.0992217883370836</v>
      </c>
    </row>
    <row r="62" spans="1:12" x14ac:dyDescent="0.25">
      <c r="A62" t="s">
        <v>84</v>
      </c>
      <c r="B62">
        <v>28.92</v>
      </c>
      <c r="C62">
        <v>27.37</v>
      </c>
      <c r="D62">
        <v>11.59</v>
      </c>
      <c r="E62">
        <v>18.34</v>
      </c>
      <c r="F62">
        <v>13.78</v>
      </c>
      <c r="H62">
        <f t="shared" si="12"/>
        <v>43.796279999999982</v>
      </c>
      <c r="I62">
        <f t="shared" si="13"/>
        <v>6.617875792125445</v>
      </c>
      <c r="K62">
        <f t="shared" si="14"/>
        <v>21.221249999999991</v>
      </c>
      <c r="L62">
        <f t="shared" si="15"/>
        <v>4.6066527978565945</v>
      </c>
    </row>
    <row r="63" spans="1:12" x14ac:dyDescent="0.25">
      <c r="A63" t="s">
        <v>85</v>
      </c>
      <c r="B63">
        <v>32.270000000000003</v>
      </c>
      <c r="C63">
        <v>25.41</v>
      </c>
      <c r="D63">
        <v>17.47</v>
      </c>
      <c r="E63">
        <v>16.75</v>
      </c>
      <c r="F63">
        <v>8.1</v>
      </c>
      <c r="H63">
        <f t="shared" si="12"/>
        <v>18.403679999999998</v>
      </c>
      <c r="I63">
        <f t="shared" si="13"/>
        <v>4.2899510486717674</v>
      </c>
      <c r="K63">
        <f t="shared" si="14"/>
        <v>14.302099999999999</v>
      </c>
      <c r="L63">
        <f t="shared" si="15"/>
        <v>3.7818117351343652</v>
      </c>
    </row>
    <row r="64" spans="1:12" x14ac:dyDescent="0.25">
      <c r="A64" t="s">
        <v>64</v>
      </c>
      <c r="B64">
        <v>32.68</v>
      </c>
      <c r="C64">
        <v>25.35</v>
      </c>
      <c r="D64">
        <v>17.559999999999999</v>
      </c>
      <c r="E64">
        <v>16.11</v>
      </c>
      <c r="F64">
        <v>8.3000000000000007</v>
      </c>
      <c r="H64">
        <f t="shared" si="12"/>
        <v>18.39772</v>
      </c>
      <c r="I64">
        <f t="shared" si="13"/>
        <v>4.2892563458016824</v>
      </c>
      <c r="K64">
        <f t="shared" si="14"/>
        <v>13.694649999999998</v>
      </c>
      <c r="L64">
        <f t="shared" si="15"/>
        <v>3.7006283250280618</v>
      </c>
    </row>
    <row r="65" spans="1:12" x14ac:dyDescent="0.25">
      <c r="A65" t="s">
        <v>86</v>
      </c>
      <c r="B65">
        <v>33.6</v>
      </c>
      <c r="C65">
        <v>24.9</v>
      </c>
      <c r="D65">
        <v>17.78</v>
      </c>
      <c r="E65">
        <v>16</v>
      </c>
      <c r="F65">
        <v>7.72</v>
      </c>
      <c r="H65">
        <f t="shared" si="12"/>
        <v>17.793360000000007</v>
      </c>
      <c r="I65">
        <f t="shared" si="13"/>
        <v>4.2182176330767955</v>
      </c>
      <c r="K65">
        <f t="shared" si="14"/>
        <v>14.624100000000009</v>
      </c>
      <c r="L65">
        <f t="shared" si="15"/>
        <v>3.8241469637031482</v>
      </c>
    </row>
    <row r="66" spans="1:12" x14ac:dyDescent="0.25">
      <c r="A66" t="s">
        <v>87</v>
      </c>
      <c r="B66">
        <v>24.99</v>
      </c>
      <c r="C66">
        <v>33.9</v>
      </c>
      <c r="D66">
        <v>11.23</v>
      </c>
      <c r="E66">
        <v>5.55</v>
      </c>
      <c r="F66">
        <v>24.33</v>
      </c>
      <c r="H66">
        <f t="shared" si="12"/>
        <v>140.85767999999999</v>
      </c>
      <c r="I66">
        <f t="shared" si="13"/>
        <v>11.868347820990079</v>
      </c>
      <c r="K66">
        <f t="shared" si="14"/>
        <v>53.637874999999994</v>
      </c>
      <c r="L66">
        <f t="shared" si="15"/>
        <v>7.3237882956841398</v>
      </c>
    </row>
    <row r="67" spans="1:12" x14ac:dyDescent="0.25">
      <c r="A67" t="s">
        <v>88</v>
      </c>
      <c r="B67">
        <v>23.48</v>
      </c>
      <c r="C67">
        <v>35.39</v>
      </c>
      <c r="D67">
        <v>10.26</v>
      </c>
      <c r="E67">
        <v>6.18</v>
      </c>
      <c r="F67">
        <v>24.69</v>
      </c>
      <c r="H67">
        <f t="shared" si="12"/>
        <v>151.59891999999999</v>
      </c>
      <c r="I67">
        <f t="shared" si="13"/>
        <v>12.312551319690002</v>
      </c>
      <c r="K67">
        <f t="shared" si="14"/>
        <v>63.04862499999998</v>
      </c>
      <c r="L67">
        <f t="shared" si="15"/>
        <v>7.940316429462996</v>
      </c>
    </row>
    <row r="68" spans="1:12" x14ac:dyDescent="0.25">
      <c r="A68" t="s">
        <v>65</v>
      </c>
      <c r="B68">
        <v>24.16</v>
      </c>
      <c r="C68">
        <v>31.67</v>
      </c>
      <c r="D68">
        <v>12.29</v>
      </c>
      <c r="E68">
        <v>16.71</v>
      </c>
      <c r="F68">
        <v>15.17</v>
      </c>
      <c r="H68">
        <f t="shared" si="12"/>
        <v>59.532319999999991</v>
      </c>
      <c r="I68">
        <f t="shared" si="13"/>
        <v>7.7157190202857953</v>
      </c>
      <c r="K68">
        <f t="shared" si="14"/>
        <v>32.360174999999998</v>
      </c>
      <c r="L68">
        <f t="shared" si="15"/>
        <v>5.6886004429912278</v>
      </c>
    </row>
    <row r="69" spans="1:12" x14ac:dyDescent="0.25">
      <c r="A69" t="s">
        <v>66</v>
      </c>
      <c r="B69">
        <v>25.37</v>
      </c>
      <c r="C69">
        <v>31.33</v>
      </c>
      <c r="D69">
        <v>12.26</v>
      </c>
      <c r="E69">
        <v>16.41</v>
      </c>
      <c r="F69">
        <v>14.62</v>
      </c>
      <c r="H69">
        <f t="shared" si="12"/>
        <v>51.793579999999977</v>
      </c>
      <c r="I69">
        <f t="shared" si="13"/>
        <v>7.1967756669219565</v>
      </c>
      <c r="K69">
        <f t="shared" si="14"/>
        <v>26.177874999999986</v>
      </c>
      <c r="L69">
        <f t="shared" si="15"/>
        <v>5.1164318621476808</v>
      </c>
    </row>
    <row r="70" spans="1:12" x14ac:dyDescent="0.25">
      <c r="A70" s="245" t="s">
        <v>89</v>
      </c>
      <c r="B70" s="245">
        <v>35.24</v>
      </c>
      <c r="C70" s="245">
        <v>24.18</v>
      </c>
      <c r="D70" s="245">
        <v>15.86</v>
      </c>
      <c r="E70" s="245">
        <v>16.77</v>
      </c>
      <c r="F70" s="245">
        <v>7.96</v>
      </c>
      <c r="G70" s="245"/>
      <c r="H70" s="245">
        <f t="shared" si="12"/>
        <v>19.702020000000005</v>
      </c>
      <c r="I70" s="245">
        <f t="shared" si="13"/>
        <v>4.4386957543855159</v>
      </c>
      <c r="J70" s="245"/>
      <c r="K70" s="245">
        <f t="shared" si="14"/>
        <v>16.333125000000006</v>
      </c>
      <c r="L70" s="245">
        <f t="shared" si="15"/>
        <v>4.0414261096796027</v>
      </c>
    </row>
    <row r="71" spans="1:12" x14ac:dyDescent="0.25">
      <c r="A71" s="245" t="s">
        <v>90</v>
      </c>
      <c r="B71" s="245">
        <v>34.450000000000003</v>
      </c>
      <c r="C71" s="245">
        <v>27.09</v>
      </c>
      <c r="D71" s="245">
        <v>15.59</v>
      </c>
      <c r="E71" s="245">
        <v>16.03</v>
      </c>
      <c r="F71" s="245">
        <v>6.84</v>
      </c>
      <c r="G71" s="245"/>
      <c r="H71" s="245">
        <f t="shared" si="12"/>
        <v>9.5066400000000026</v>
      </c>
      <c r="I71" s="245">
        <f t="shared" si="13"/>
        <v>3.0832839635687148</v>
      </c>
      <c r="J71" s="245"/>
      <c r="K71" s="245">
        <f t="shared" si="14"/>
        <v>6.5009000000000041</v>
      </c>
      <c r="L71" s="245">
        <f t="shared" si="15"/>
        <v>2.5496862552086688</v>
      </c>
    </row>
    <row r="72" spans="1:12" x14ac:dyDescent="0.25">
      <c r="A72" s="245" t="s">
        <v>91</v>
      </c>
      <c r="B72" s="245">
        <v>32.549999999999997</v>
      </c>
      <c r="C72" s="245">
        <v>25.83</v>
      </c>
      <c r="D72" s="245">
        <v>17.53</v>
      </c>
      <c r="E72" s="245">
        <v>16.829999999999998</v>
      </c>
      <c r="F72" s="245">
        <v>7.27</v>
      </c>
      <c r="G72" s="245"/>
      <c r="H72" s="245">
        <f t="shared" si="12"/>
        <v>15.30922000000001</v>
      </c>
      <c r="I72" s="245">
        <f t="shared" si="13"/>
        <v>3.9126998351521944</v>
      </c>
      <c r="J72" s="245"/>
      <c r="K72" s="245">
        <f t="shared" si="14"/>
        <v>12.710300000000014</v>
      </c>
      <c r="L72" s="245">
        <f t="shared" si="15"/>
        <v>3.5651507682004158</v>
      </c>
    </row>
    <row r="73" spans="1:12" x14ac:dyDescent="0.25">
      <c r="A73" s="245" t="s">
        <v>92</v>
      </c>
      <c r="B73" s="245">
        <v>30.98</v>
      </c>
      <c r="C73" s="245">
        <v>28.09</v>
      </c>
      <c r="D73" s="245">
        <v>15.51</v>
      </c>
      <c r="E73" s="245">
        <v>17.55</v>
      </c>
      <c r="F73" s="245">
        <v>7.88</v>
      </c>
      <c r="G73" s="245"/>
      <c r="H73" s="245">
        <f t="shared" si="12"/>
        <v>13.853500000000002</v>
      </c>
      <c r="I73" s="245">
        <f t="shared" si="13"/>
        <v>3.7220290165446053</v>
      </c>
      <c r="J73" s="245"/>
      <c r="K73" s="245">
        <f t="shared" si="14"/>
        <v>9.2512750000000015</v>
      </c>
      <c r="L73" s="245">
        <f t="shared" si="15"/>
        <v>3.0415908666354192</v>
      </c>
    </row>
    <row r="74" spans="1:12" x14ac:dyDescent="0.25">
      <c r="A74" s="245" t="s">
        <v>93</v>
      </c>
      <c r="B74" s="245">
        <v>36.83</v>
      </c>
      <c r="C74" s="245">
        <v>26.09</v>
      </c>
      <c r="D74" s="245">
        <v>13.69</v>
      </c>
      <c r="E74" s="245">
        <v>15.2</v>
      </c>
      <c r="F74" s="245">
        <v>8.19</v>
      </c>
      <c r="G74" s="245"/>
      <c r="H74" s="245">
        <f t="shared" si="12"/>
        <v>15.953040000000005</v>
      </c>
      <c r="I74" s="245">
        <f t="shared" si="13"/>
        <v>3.9941256865551948</v>
      </c>
      <c r="J74" s="245"/>
      <c r="K74" s="245">
        <f t="shared" si="14"/>
        <v>10.971275000000006</v>
      </c>
      <c r="L74" s="245">
        <f t="shared" si="15"/>
        <v>3.312291502872295</v>
      </c>
    </row>
    <row r="78" spans="1:12" x14ac:dyDescent="0.25">
      <c r="D78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2B5B594A6424B988B96A02B94DAF8" ma:contentTypeVersion="4" ma:contentTypeDescription="Create a new document." ma:contentTypeScope="" ma:versionID="c270c3f6dc9418a22b13d4ea53d97697">
  <xsd:schema xmlns:xsd="http://www.w3.org/2001/XMLSchema" xmlns:xs="http://www.w3.org/2001/XMLSchema" xmlns:p="http://schemas.microsoft.com/office/2006/metadata/properties" xmlns:ns3="6316e7de-8f82-46a6-b890-9be7162e60c1" targetNamespace="http://schemas.microsoft.com/office/2006/metadata/properties" ma:root="true" ma:fieldsID="cf731e8c81ef50c814b43dcceb30b914" ns3:_="">
    <xsd:import namespace="6316e7de-8f82-46a6-b890-9be7162e60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e7de-8f82-46a6-b890-9be7162e60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55407-F6FB-4EC4-9E50-0CA28A01CF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52017-5CC2-4FBA-A720-AEDC1B6A55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F2139BB-1AF8-4CE5-A87C-39FBA32A98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6e7de-8f82-46a6-b890-9be7162e60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Summary tables</vt:lpstr>
      <vt:lpstr>Madrid - PIMLE</vt:lpstr>
      <vt:lpstr>Andalusia - PIMLE</vt:lpstr>
      <vt:lpstr>Valencia - PIMLE</vt:lpstr>
      <vt:lpstr>Madrid - Complete</vt:lpstr>
      <vt:lpstr>Andalusia - Complete</vt:lpstr>
      <vt:lpstr>Valencia - Complete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Lucía Soria</dc:creator>
  <cp:keywords/>
  <dc:description/>
  <cp:lastModifiedBy>Lucia Soria González</cp:lastModifiedBy>
  <cp:revision/>
  <dcterms:created xsi:type="dcterms:W3CDTF">2015-06-05T18:19:34Z</dcterms:created>
  <dcterms:modified xsi:type="dcterms:W3CDTF">2026-04-06T17:20:52Z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0x010100EA62B5B594A6424B988B96A02B94DAF8</vt:lpwstr>
  </property>
</Properties>
</file>